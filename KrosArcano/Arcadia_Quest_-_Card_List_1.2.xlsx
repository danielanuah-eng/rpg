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E:\Games\Board Games\AQ\"/>
    </mc:Choice>
  </mc:AlternateContent>
  <xr:revisionPtr revIDLastSave="0" documentId="13_ncr:1_{391F641D-4743-43A9-A1F7-CFEA3F88C644}" xr6:coauthVersionLast="47" xr6:coauthVersionMax="47" xr10:uidLastSave="{00000000-0000-0000-0000-000000000000}"/>
  <bookViews>
    <workbookView xWindow="-120" yWindow="-120" windowWidth="29040" windowHeight="15840" tabRatio="716" xr2:uid="{00000000-000D-0000-FFFF-FFFF00000000}"/>
  </bookViews>
  <sheets>
    <sheet name="Set Counts" sheetId="20" r:id="rId1"/>
    <sheet name="Item Type by Set" sheetId="18" r:id="rId2"/>
    <sheet name="Upgrades" sheetId="8" r:id="rId3"/>
    <sheet name="Quests" sheetId="9" r:id="rId4"/>
    <sheet name="Death Curses" sheetId="16" r:id="rId5"/>
    <sheet name="Stone Cards" sheetId="15" r:id="rId6"/>
    <sheet name="Heroes" sheetId="10" r:id="rId7"/>
    <sheet name="Monsters" sheetId="3" r:id="rId8"/>
    <sheet name="Pets" sheetId="12" r:id="rId9"/>
    <sheet name="Mounts" sheetId="11" r:id="rId10"/>
    <sheet name="Dragons" sheetId="13" r:id="rId11"/>
    <sheet name="Dragon Turns" sheetId="14" r:id="rId12"/>
  </sheet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 i="18" l="1"/>
  <c r="K34" i="18"/>
  <c r="L34" i="18"/>
  <c r="M34" i="18"/>
  <c r="N34" i="18"/>
  <c r="I34" i="18"/>
  <c r="J31" i="18"/>
  <c r="K31" i="18"/>
  <c r="L31" i="18"/>
  <c r="M31" i="18"/>
  <c r="N31" i="18"/>
  <c r="I31" i="18"/>
  <c r="K33" i="18"/>
  <c r="J33" i="18"/>
  <c r="K32" i="18"/>
  <c r="W18" i="18"/>
  <c r="V18" i="18"/>
  <c r="U18" i="18"/>
  <c r="S18" i="18"/>
  <c r="R18" i="18"/>
  <c r="W17" i="18"/>
  <c r="V17" i="18"/>
  <c r="U17" i="18"/>
  <c r="R17" i="18"/>
  <c r="I26" i="18"/>
  <c r="N43" i="18"/>
  <c r="M43" i="18"/>
  <c r="L43" i="18"/>
  <c r="K43" i="18"/>
  <c r="J43" i="18"/>
  <c r="I43" i="18"/>
  <c r="N42" i="18"/>
  <c r="M42" i="18"/>
  <c r="L42" i="18"/>
  <c r="K42" i="18"/>
  <c r="J42" i="18"/>
  <c r="I42" i="18"/>
  <c r="N41" i="18"/>
  <c r="M41" i="18"/>
  <c r="L41" i="18"/>
  <c r="K41" i="18"/>
  <c r="J41" i="18"/>
  <c r="I41" i="18"/>
  <c r="N40" i="18"/>
  <c r="M40" i="18"/>
  <c r="L40" i="18"/>
  <c r="K40" i="18"/>
  <c r="J40" i="18"/>
  <c r="I40" i="18"/>
  <c r="N39" i="18"/>
  <c r="M39" i="18"/>
  <c r="L39" i="18"/>
  <c r="K39" i="18"/>
  <c r="J39" i="18"/>
  <c r="I39" i="18"/>
  <c r="N38" i="18"/>
  <c r="M38" i="18"/>
  <c r="L38" i="18"/>
  <c r="K38" i="18"/>
  <c r="J38" i="18"/>
  <c r="I38" i="18"/>
  <c r="N37" i="18"/>
  <c r="M37" i="18"/>
  <c r="L37" i="18"/>
  <c r="K37" i="18"/>
  <c r="J37" i="18"/>
  <c r="I37" i="18"/>
  <c r="N36" i="18"/>
  <c r="M36" i="18"/>
  <c r="L36" i="18"/>
  <c r="K36" i="18"/>
  <c r="J36" i="18"/>
  <c r="I36" i="18"/>
  <c r="N35" i="18"/>
  <c r="M35" i="18"/>
  <c r="L35" i="18"/>
  <c r="K35" i="18"/>
  <c r="J35" i="18"/>
  <c r="I35" i="18"/>
  <c r="N33" i="18"/>
  <c r="M33" i="18"/>
  <c r="L33" i="18"/>
  <c r="I33" i="18"/>
  <c r="N32" i="18"/>
  <c r="M32" i="18"/>
  <c r="L32" i="18"/>
  <c r="J32" i="18"/>
  <c r="I32" i="18"/>
  <c r="N30" i="18"/>
  <c r="M30" i="18"/>
  <c r="L30" i="18"/>
  <c r="K30" i="18"/>
  <c r="J30" i="18"/>
  <c r="I30" i="18"/>
  <c r="N29" i="18"/>
  <c r="M29" i="18"/>
  <c r="L29" i="18"/>
  <c r="K29" i="18"/>
  <c r="J29" i="18"/>
  <c r="I29" i="18"/>
  <c r="N28" i="18"/>
  <c r="M28" i="18"/>
  <c r="L28" i="18"/>
  <c r="K28" i="18"/>
  <c r="J28" i="18"/>
  <c r="I28" i="18"/>
  <c r="N27" i="18"/>
  <c r="M27" i="18"/>
  <c r="L27" i="18"/>
  <c r="K27" i="18"/>
  <c r="J27" i="18"/>
  <c r="I27" i="18"/>
  <c r="N26" i="18"/>
  <c r="M26" i="18"/>
  <c r="L26" i="18"/>
  <c r="K26" i="18"/>
  <c r="J26" i="18"/>
  <c r="I3" i="18"/>
  <c r="S10" i="18"/>
  <c r="T10" i="18"/>
  <c r="U10" i="18"/>
  <c r="V10" i="18"/>
  <c r="W10" i="18"/>
  <c r="S11" i="18"/>
  <c r="T11" i="18"/>
  <c r="U11" i="18"/>
  <c r="V11" i="18"/>
  <c r="W11" i="18"/>
  <c r="S12" i="18"/>
  <c r="T12" i="18"/>
  <c r="U12" i="18"/>
  <c r="V12" i="18"/>
  <c r="W12" i="18"/>
  <c r="R11" i="18"/>
  <c r="R12" i="18"/>
  <c r="R10" i="18"/>
  <c r="X19" i="18" l="1"/>
  <c r="N44" i="18"/>
  <c r="X20" i="18"/>
  <c r="O38" i="18"/>
  <c r="O40" i="18"/>
  <c r="T21" i="18"/>
  <c r="U21" i="18"/>
  <c r="V21" i="18"/>
  <c r="W21" i="18"/>
  <c r="X18" i="18"/>
  <c r="O42" i="18"/>
  <c r="K44" i="18"/>
  <c r="O32" i="18"/>
  <c r="S21" i="18"/>
  <c r="L44" i="18"/>
  <c r="O28" i="18"/>
  <c r="O30" i="18"/>
  <c r="O36" i="18"/>
  <c r="O34" i="18"/>
  <c r="J44" i="18"/>
  <c r="R21" i="18"/>
  <c r="M44" i="18"/>
  <c r="O35" i="18"/>
  <c r="O37" i="18"/>
  <c r="O39" i="18"/>
  <c r="O41" i="18"/>
  <c r="O43" i="18"/>
  <c r="O27" i="18"/>
  <c r="O29" i="18"/>
  <c r="O31" i="18"/>
  <c r="O33" i="18"/>
  <c r="X17" i="18"/>
  <c r="I44" i="18"/>
  <c r="O26" i="18"/>
  <c r="W13" i="18"/>
  <c r="V13" i="18"/>
  <c r="U13" i="18"/>
  <c r="T13" i="18"/>
  <c r="X12" i="18"/>
  <c r="X11" i="18"/>
  <c r="S13" i="18"/>
  <c r="R13" i="18"/>
  <c r="X10" i="18"/>
  <c r="I16" i="18"/>
  <c r="J16" i="18"/>
  <c r="K16" i="18"/>
  <c r="L16" i="18"/>
  <c r="M16" i="18"/>
  <c r="I17" i="18"/>
  <c r="J17" i="18"/>
  <c r="K17" i="18"/>
  <c r="L17" i="18"/>
  <c r="M17" i="18"/>
  <c r="I18" i="18"/>
  <c r="J18" i="18"/>
  <c r="K18" i="18"/>
  <c r="L18" i="18"/>
  <c r="M18" i="18"/>
  <c r="I19" i="18"/>
  <c r="J19" i="18"/>
  <c r="K19" i="18"/>
  <c r="L19" i="18"/>
  <c r="M19" i="18"/>
  <c r="I20" i="18"/>
  <c r="J20" i="18"/>
  <c r="K20" i="18"/>
  <c r="L20" i="18"/>
  <c r="M20" i="18"/>
  <c r="R5" i="18"/>
  <c r="S5" i="18"/>
  <c r="T5" i="18"/>
  <c r="U5" i="18"/>
  <c r="V5" i="18"/>
  <c r="W5" i="18"/>
  <c r="S3" i="18"/>
  <c r="T3" i="18"/>
  <c r="U3" i="18"/>
  <c r="V3" i="18"/>
  <c r="W3" i="18"/>
  <c r="S4" i="18"/>
  <c r="T4" i="18"/>
  <c r="U4" i="18"/>
  <c r="V4" i="18"/>
  <c r="W4" i="18"/>
  <c r="R4" i="18"/>
  <c r="R3" i="18"/>
  <c r="N20" i="18"/>
  <c r="N19" i="18"/>
  <c r="N18" i="18"/>
  <c r="N17" i="18"/>
  <c r="N16" i="18"/>
  <c r="N15" i="18"/>
  <c r="N14" i="18"/>
  <c r="N13" i="18"/>
  <c r="N12" i="18"/>
  <c r="N11" i="18"/>
  <c r="N10" i="18"/>
  <c r="N9" i="18"/>
  <c r="N8" i="18"/>
  <c r="N7" i="18"/>
  <c r="N6" i="18"/>
  <c r="N5" i="18"/>
  <c r="N4" i="18"/>
  <c r="N3" i="18"/>
  <c r="M15" i="18"/>
  <c r="M14" i="18"/>
  <c r="M13" i="18"/>
  <c r="M12" i="18"/>
  <c r="M11" i="18"/>
  <c r="M10" i="18"/>
  <c r="M9" i="18"/>
  <c r="M8" i="18"/>
  <c r="M7" i="18"/>
  <c r="M6" i="18"/>
  <c r="M5" i="18"/>
  <c r="M4" i="18"/>
  <c r="M3" i="18"/>
  <c r="L15" i="18"/>
  <c r="L14" i="18"/>
  <c r="L13" i="18"/>
  <c r="L12" i="18"/>
  <c r="L11" i="18"/>
  <c r="L10" i="18"/>
  <c r="L9" i="18"/>
  <c r="L8" i="18"/>
  <c r="L7" i="18"/>
  <c r="L6" i="18"/>
  <c r="L5" i="18"/>
  <c r="L4" i="18"/>
  <c r="L3" i="18"/>
  <c r="K15" i="18"/>
  <c r="K14" i="18"/>
  <c r="K13" i="18"/>
  <c r="K12" i="18"/>
  <c r="K11" i="18"/>
  <c r="K10" i="18"/>
  <c r="K9" i="18"/>
  <c r="K8" i="18"/>
  <c r="K7" i="18"/>
  <c r="K6" i="18"/>
  <c r="K5" i="18"/>
  <c r="K4" i="18"/>
  <c r="K3" i="18"/>
  <c r="J15" i="18"/>
  <c r="J14" i="18"/>
  <c r="J13" i="18"/>
  <c r="J12" i="18"/>
  <c r="J11" i="18"/>
  <c r="J10" i="18"/>
  <c r="J9" i="18"/>
  <c r="J8" i="18"/>
  <c r="J7" i="18"/>
  <c r="J6" i="18"/>
  <c r="J5" i="18"/>
  <c r="J4" i="18"/>
  <c r="J3" i="18"/>
  <c r="I4" i="18"/>
  <c r="I5" i="18"/>
  <c r="I6" i="18"/>
  <c r="I7" i="18"/>
  <c r="I8" i="18"/>
  <c r="I9" i="18"/>
  <c r="O9" i="18" s="1"/>
  <c r="I10" i="18"/>
  <c r="O10" i="18" s="1"/>
  <c r="I11" i="18"/>
  <c r="O11" i="18" s="1"/>
  <c r="I12" i="18"/>
  <c r="O12" i="18" s="1"/>
  <c r="I13" i="18"/>
  <c r="O13" i="18" s="1"/>
  <c r="I14" i="18"/>
  <c r="O14" i="18" s="1"/>
  <c r="I15" i="18"/>
  <c r="O15" i="18" s="1"/>
  <c r="O16" i="18"/>
  <c r="O17" i="18"/>
  <c r="O4" i="18" l="1"/>
  <c r="O5" i="18"/>
  <c r="O6" i="18"/>
  <c r="O20" i="18"/>
  <c r="X3" i="18"/>
  <c r="O19" i="18"/>
  <c r="O18" i="18"/>
  <c r="X4" i="18"/>
  <c r="X5" i="18"/>
  <c r="K21" i="18"/>
  <c r="M21" i="18"/>
  <c r="I21" i="18"/>
  <c r="O8" i="18"/>
  <c r="O7" i="18"/>
  <c r="W6" i="18"/>
  <c r="V6" i="18"/>
  <c r="U6" i="18"/>
  <c r="J21" i="18"/>
  <c r="L21" i="18"/>
  <c r="N21" i="18"/>
  <c r="T6" i="18"/>
  <c r="S6" i="18"/>
  <c r="R6" i="18"/>
  <c r="O3" i="18"/>
  <c r="K14" i="20"/>
  <c r="I14" i="20"/>
  <c r="H14" i="20"/>
  <c r="G14" i="20"/>
  <c r="F14" i="20"/>
  <c r="E14" i="20"/>
  <c r="D14" i="20"/>
  <c r="C14" i="20"/>
  <c r="B14" i="20"/>
  <c r="K13" i="20"/>
  <c r="I13" i="20"/>
  <c r="H13" i="20"/>
  <c r="G13" i="20"/>
  <c r="F13" i="20"/>
  <c r="E13" i="20"/>
  <c r="D13" i="20"/>
  <c r="C13" i="20"/>
  <c r="B13" i="20"/>
  <c r="K12" i="20"/>
  <c r="I12" i="20"/>
  <c r="H12" i="20"/>
  <c r="G12" i="20"/>
  <c r="F12" i="20"/>
  <c r="E12" i="20"/>
  <c r="D12" i="20"/>
  <c r="C12" i="20"/>
  <c r="B12" i="20"/>
  <c r="K11" i="20"/>
  <c r="I11" i="20"/>
  <c r="H11" i="20"/>
  <c r="G11" i="20"/>
  <c r="F11" i="20"/>
  <c r="E11" i="20"/>
  <c r="D11" i="20"/>
  <c r="C11" i="20"/>
  <c r="B11" i="20"/>
  <c r="K10" i="20"/>
  <c r="I10" i="20"/>
  <c r="H10" i="20"/>
  <c r="G10" i="20"/>
  <c r="F10" i="20"/>
  <c r="E10" i="20"/>
  <c r="D10" i="20"/>
  <c r="C10" i="20"/>
  <c r="B10" i="20"/>
  <c r="K9" i="20"/>
  <c r="I9" i="20"/>
  <c r="H9" i="20"/>
  <c r="G9" i="20"/>
  <c r="F9" i="20"/>
  <c r="E9" i="20"/>
  <c r="D9" i="20"/>
  <c r="C9" i="20"/>
  <c r="B9" i="20"/>
  <c r="K8" i="20"/>
  <c r="I8" i="20"/>
  <c r="H8" i="20"/>
  <c r="G8" i="20"/>
  <c r="F8" i="20"/>
  <c r="E8" i="20"/>
  <c r="D8" i="20"/>
  <c r="C8" i="20"/>
  <c r="B8" i="20"/>
  <c r="K7" i="20"/>
  <c r="I7" i="20"/>
  <c r="H7" i="20"/>
  <c r="G7" i="20"/>
  <c r="F7" i="20"/>
  <c r="E7" i="20"/>
  <c r="D7" i="20"/>
  <c r="C7" i="20"/>
  <c r="B7" i="20"/>
  <c r="K6" i="20"/>
  <c r="I6" i="20"/>
  <c r="H6" i="20"/>
  <c r="G6" i="20"/>
  <c r="F6" i="20"/>
  <c r="E6" i="20"/>
  <c r="D6" i="20"/>
  <c r="C6" i="20"/>
  <c r="B6" i="20"/>
  <c r="K5" i="20"/>
  <c r="I5" i="20"/>
  <c r="H5" i="20"/>
  <c r="G5" i="20"/>
  <c r="F5" i="20"/>
  <c r="E5" i="20"/>
  <c r="D5" i="20"/>
  <c r="C5" i="20"/>
  <c r="B5" i="20"/>
  <c r="K4" i="20"/>
  <c r="I4" i="20"/>
  <c r="H4" i="20"/>
  <c r="G4" i="20"/>
  <c r="F4" i="20"/>
  <c r="E4" i="20"/>
  <c r="D4" i="20"/>
  <c r="C4" i="20"/>
  <c r="B4" i="20"/>
  <c r="K3" i="20"/>
  <c r="I3" i="20"/>
  <c r="H3" i="20"/>
  <c r="G3" i="20"/>
  <c r="F3" i="20"/>
  <c r="E3" i="20"/>
  <c r="D3" i="20"/>
  <c r="C3" i="20"/>
  <c r="B3" i="20"/>
</calcChain>
</file>

<file path=xl/sharedStrings.xml><?xml version="1.0" encoding="utf-8"?>
<sst xmlns="http://schemas.openxmlformats.org/spreadsheetml/2006/main" count="5387" uniqueCount="2053">
  <si>
    <t>Rusty Blade</t>
  </si>
  <si>
    <t>Parrying Blade</t>
  </si>
  <si>
    <t>Slingshot</t>
  </si>
  <si>
    <t>Life Drain</t>
  </si>
  <si>
    <t>Nova Bolt</t>
  </si>
  <si>
    <t>Level</t>
  </si>
  <si>
    <t>Name</t>
  </si>
  <si>
    <t>Defense</t>
  </si>
  <si>
    <t>Life</t>
  </si>
  <si>
    <t>Ability</t>
  </si>
  <si>
    <t>Type</t>
  </si>
  <si>
    <t>Overkill</t>
  </si>
  <si>
    <t>Coins</t>
  </si>
  <si>
    <t>Move</t>
  </si>
  <si>
    <t>Attack</t>
  </si>
  <si>
    <t>2-3</t>
  </si>
  <si>
    <t>Re-roll</t>
  </si>
  <si>
    <t>Ranged</t>
  </si>
  <si>
    <t>Melee</t>
  </si>
  <si>
    <t>Attack Type</t>
  </si>
  <si>
    <t>4-5</t>
  </si>
  <si>
    <t>Ranged Attack</t>
  </si>
  <si>
    <t>Sword</t>
  </si>
  <si>
    <t>Magic</t>
  </si>
  <si>
    <t>Bow</t>
  </si>
  <si>
    <t>Night Fury</t>
  </si>
  <si>
    <t>Melee Attack</t>
  </si>
  <si>
    <t>Twinbolt</t>
  </si>
  <si>
    <t>Moon Ring II</t>
  </si>
  <si>
    <t>Boost</t>
  </si>
  <si>
    <t>Bling</t>
  </si>
  <si>
    <t>Heart of the Gryphon</t>
  </si>
  <si>
    <t>Permanent</t>
  </si>
  <si>
    <t>Frostbite</t>
  </si>
  <si>
    <t>Crushing Gauntlet</t>
  </si>
  <si>
    <t>Gear</t>
  </si>
  <si>
    <t>Heart of Angelis</t>
  </si>
  <si>
    <t>Lifestealer</t>
  </si>
  <si>
    <t>Wind Blast</t>
  </si>
  <si>
    <t>Blood Crown</t>
  </si>
  <si>
    <t>Brimstone</t>
  </si>
  <si>
    <t>Hammer</t>
  </si>
  <si>
    <t>Thorn</t>
  </si>
  <si>
    <t>Soulseeker</t>
  </si>
  <si>
    <t>Sun Ring II</t>
  </si>
  <si>
    <t>Das Boot</t>
  </si>
  <si>
    <t>Assassin's Cloak</t>
  </si>
  <si>
    <t>Moon Shield</t>
  </si>
  <si>
    <t>Shield</t>
  </si>
  <si>
    <t>Amulet of Retribution</t>
  </si>
  <si>
    <t>Hate</t>
  </si>
  <si>
    <t>Last Stand</t>
  </si>
  <si>
    <t>X</t>
  </si>
  <si>
    <t>Astral Strike</t>
  </si>
  <si>
    <t>Grrrrrrrrr!</t>
  </si>
  <si>
    <t>Ragestone</t>
  </si>
  <si>
    <t>Tome of Enlightenment</t>
  </si>
  <si>
    <t>Cloak of Displacement</t>
  </si>
  <si>
    <t>Smashface</t>
  </si>
  <si>
    <t>Fortune Dice</t>
  </si>
  <si>
    <t>Trusty Blade</t>
  </si>
  <si>
    <t>Sickle</t>
  </si>
  <si>
    <t>Axe</t>
  </si>
  <si>
    <t>Decimator</t>
  </si>
  <si>
    <t>Cleave</t>
  </si>
  <si>
    <t>Bleeder</t>
  </si>
  <si>
    <t>Life Drain II</t>
  </si>
  <si>
    <t>Last Grim</t>
  </si>
  <si>
    <t>Lance</t>
  </si>
  <si>
    <t>Power Harness</t>
  </si>
  <si>
    <t>Armor</t>
  </si>
  <si>
    <t>Emberstrike</t>
  </si>
  <si>
    <t>Beastman's Spear</t>
  </si>
  <si>
    <t>Orc Pelt</t>
  </si>
  <si>
    <t>Sun Ring</t>
  </si>
  <si>
    <t>Moon Ring</t>
  </si>
  <si>
    <t>Health</t>
  </si>
  <si>
    <t>Major Villain</t>
  </si>
  <si>
    <t>Crescent Bow</t>
  </si>
  <si>
    <t>Chaos Dragon</t>
  </si>
  <si>
    <t>Headsplitter</t>
  </si>
  <si>
    <t>Dragon Blade</t>
  </si>
  <si>
    <t>Fanged Bow</t>
  </si>
  <si>
    <t>Badda-Bomb</t>
  </si>
  <si>
    <t>Hate III</t>
  </si>
  <si>
    <t>Holy Nova III</t>
  </si>
  <si>
    <t>Portal Spell</t>
  </si>
  <si>
    <t>Blond Elf Gloves III</t>
  </si>
  <si>
    <t>Angelic Ring IV</t>
  </si>
  <si>
    <t>Dragon Helm</t>
  </si>
  <si>
    <t>Messy Mail</t>
  </si>
  <si>
    <t>Stabilizing Bracer</t>
  </si>
  <si>
    <t>Friendship Bracelet</t>
  </si>
  <si>
    <t>Armageddon Crown</t>
  </si>
  <si>
    <t>Excalibur</t>
  </si>
  <si>
    <t>Vexia's Staff</t>
  </si>
  <si>
    <t>Frost Dragon</t>
  </si>
  <si>
    <t>Trinity Bolt</t>
  </si>
  <si>
    <t>Skulls Out</t>
  </si>
  <si>
    <t>Wind Blast III</t>
  </si>
  <si>
    <t>Lifebound IV</t>
  </si>
  <si>
    <t>Everspell</t>
  </si>
  <si>
    <t>Moon Ring IV</t>
  </si>
  <si>
    <t>Wand of Haste II</t>
  </si>
  <si>
    <t>Healing Bracer III</t>
  </si>
  <si>
    <t>Dragon Boots</t>
  </si>
  <si>
    <t>Frosty Mail</t>
  </si>
  <si>
    <t>Genesis Glass III</t>
  </si>
  <si>
    <t>Lord Fang's Sword</t>
  </si>
  <si>
    <t>Dread King's Armor</t>
  </si>
  <si>
    <t>Poison Dragon</t>
  </si>
  <si>
    <t>Thunderstruck</t>
  </si>
  <si>
    <t>Dragon Crossbow</t>
  </si>
  <si>
    <t>Platinum Chakram</t>
  </si>
  <si>
    <t>Shockwave IV</t>
  </si>
  <si>
    <t>High Voltage</t>
  </si>
  <si>
    <t>Blazing Shot II</t>
  </si>
  <si>
    <t>Dragon Gauntlet</t>
  </si>
  <si>
    <t>Stinky Mail</t>
  </si>
  <si>
    <t>Charm Bracelet</t>
  </si>
  <si>
    <t>The Alpha Ring</t>
  </si>
  <si>
    <t>Fire Dragon</t>
  </si>
  <si>
    <t>Titan's Grave</t>
  </si>
  <si>
    <t>Dragon Bow Z</t>
  </si>
  <si>
    <t>Murder &amp; Skully</t>
  </si>
  <si>
    <t>Quicksilver Crossbow</t>
  </si>
  <si>
    <t>Burninate III</t>
  </si>
  <si>
    <t>Searing III</t>
  </si>
  <si>
    <t>Heartbreaker</t>
  </si>
  <si>
    <t>Wand of Swiftness III</t>
  </si>
  <si>
    <t>Nasty Pendant II</t>
  </si>
  <si>
    <t>Dragon Armor</t>
  </si>
  <si>
    <t>Cosy Mail</t>
  </si>
  <si>
    <t>Pentakill</t>
  </si>
  <si>
    <t>Rock Bottom's Horns</t>
  </si>
  <si>
    <t>Number</t>
  </si>
  <si>
    <t>Price</t>
  </si>
  <si>
    <t>Class</t>
  </si>
  <si>
    <t>ATK</t>
  </si>
  <si>
    <t>HP</t>
  </si>
  <si>
    <t>DEF</t>
  </si>
  <si>
    <t>Description</t>
  </si>
  <si>
    <t>QTY</t>
  </si>
  <si>
    <t>POD6-01</t>
  </si>
  <si>
    <t>If this deals any Wounds, the target and all Enemies Close to it are Dazed.</t>
  </si>
  <si>
    <t>POD6-02</t>
  </si>
  <si>
    <t>Bow - Dragon</t>
  </si>
  <si>
    <t>Rolls +1 Attack die per other Dragon card that this Hero has equipped.</t>
  </si>
  <si>
    <t>POD6-03</t>
  </si>
  <si>
    <t>Thrown Weapon</t>
  </si>
  <si>
    <t>When attacking a Close Enemy, hits on Melee icons instead of Ranged Icons.</t>
  </si>
  <si>
    <t>POD6-04</t>
  </si>
  <si>
    <t>Bone Ripper</t>
  </si>
  <si>
    <t>POD6-05</t>
  </si>
  <si>
    <t>POD6-06</t>
  </si>
  <si>
    <t>Lifedrain IV</t>
  </si>
  <si>
    <t>If this deals any Hits, heal all Wounds from this Hero OR a Close Ally.</t>
  </si>
  <si>
    <t>POD6-07</t>
  </si>
  <si>
    <t>You may exhaust a second Attack card from this Hero to roll +3 dice for this attack.</t>
  </si>
  <si>
    <t>POD6-08</t>
  </si>
  <si>
    <t>+4 dice to one Attack card.</t>
  </si>
  <si>
    <t>POD6-09</t>
  </si>
  <si>
    <t>+3 dice to a non-Magic Melee attack. This Hero takes 2 Wounds.</t>
  </si>
  <si>
    <t>POD6-10</t>
  </si>
  <si>
    <t>+3 dice to a Bow attack. This Hero takes 2 Wounds.</t>
  </si>
  <si>
    <t>POD6-11</t>
  </si>
  <si>
    <t>Gear - Dragon</t>
  </si>
  <si>
    <t>May exhaust each card one extra time per Dragon card this Hero has equipped.</t>
  </si>
  <si>
    <t>POD6-12</t>
  </si>
  <si>
    <t>Limit 1 armor per Hero.</t>
  </si>
  <si>
    <t>POD6-13</t>
  </si>
  <si>
    <t>Each Wound this Hero deals removes 1 Frost/Fire/Chaos/Poison token from this Hero or another Hero in Line of Sight.</t>
  </si>
  <si>
    <t>POD6-14</t>
  </si>
  <si>
    <t>This Hero gets all Rerolls available to all Heroes Close to him.</t>
  </si>
  <si>
    <t>POD6-15</t>
  </si>
  <si>
    <t>At the start of your activation, you may deal 2 Wounds to any Close Enemies.</t>
  </si>
  <si>
    <t>Set</t>
  </si>
  <si>
    <t>PODR-01</t>
  </si>
  <si>
    <t>Death In A Box</t>
  </si>
  <si>
    <t>If this deals any Wounds, it may target one other enemy in an Outdoor Space.</t>
  </si>
  <si>
    <t>PODR-02</t>
  </si>
  <si>
    <t>This Hero may move through Blocked Spaces and does not trigger Guard Reactions.</t>
  </si>
  <si>
    <t>CHD6-01</t>
  </si>
  <si>
    <t>Each Crit deals 2 additional Hits.</t>
  </si>
  <si>
    <t>CHD6-02</t>
  </si>
  <si>
    <t>Sword - Dragon</t>
  </si>
  <si>
    <t>CHD6-03</t>
  </si>
  <si>
    <t>CHD6-04</t>
  </si>
  <si>
    <t>Limit 1 Bomb per Guild. If this rolls any hits, place 1 Guild token on each Close Space. Token explodes and attacks an enemy Hero who moves into that Space.</t>
  </si>
  <si>
    <t>CHD6-05</t>
  </si>
  <si>
    <t>If this rolls any Crit against a Hero, exhaust all of his cards, unless he takes 2 extra Wounds.</t>
  </si>
  <si>
    <t>CHD6-06</t>
  </si>
  <si>
    <t>CHD6-07</t>
  </si>
  <si>
    <t>CHD6-08</t>
  </si>
  <si>
    <t>+3 dice to one non-Magic Ranged Attack card. Do not exhaust the boosted card.</t>
  </si>
  <si>
    <t>CHD6-09</t>
  </si>
  <si>
    <t>CHD6-10</t>
  </si>
  <si>
    <t>+1 Reroll for each Dragon card that this Hero has equipped.</t>
  </si>
  <si>
    <t>CHD6-11</t>
  </si>
  <si>
    <t>CHD6-12</t>
  </si>
  <si>
    <t>CHD6-13</t>
  </si>
  <si>
    <t>Get an additional die per Close Hero on all rolls.</t>
  </si>
  <si>
    <t>CHD6-14</t>
  </si>
  <si>
    <t>CHDR-01</t>
  </si>
  <si>
    <t>If this deals any Wounds against a Minion, it doesn't trigger a Payback Reaction.</t>
  </si>
  <si>
    <t>CHDR-02</t>
  </si>
  <si>
    <t>This Hero gets +2 dice on Magic Attack rolls per each other Hero of his Guild that is alive.</t>
  </si>
  <si>
    <t>FID6-01</t>
  </si>
  <si>
    <t>FID6-02</t>
  </si>
  <si>
    <t>May target an additional Enemy Close to the target per Dragon card that this Hero has equipped.</t>
  </si>
  <si>
    <t>FID6-03</t>
  </si>
  <si>
    <t>If this deals any Wounds, it also exhausts ALL of the target's cards.</t>
  </si>
  <si>
    <t>FID6-04</t>
  </si>
  <si>
    <t>FID6-05</t>
  </si>
  <si>
    <t>May also target any number of enemies Close to the target.</t>
  </si>
  <si>
    <t>FID6-06</t>
  </si>
  <si>
    <t>If this rolls any Hits against a Hero, Saves scored by the Defense roll count as Wounds against him instead.</t>
  </si>
  <si>
    <t>FID6-07</t>
  </si>
  <si>
    <t>Each Hit rolled deals one additional Hit.</t>
  </si>
  <si>
    <t>FID6-08</t>
  </si>
  <si>
    <t>FID6-09</t>
  </si>
  <si>
    <t>+2 dice to a Magic Attack card. After the attack, this Hero gains 2 extra Movement Points to use this turn.</t>
  </si>
  <si>
    <t>FID6-10</t>
  </si>
  <si>
    <t>+3 dice to one Attack card. To use this, the Hero takes 2 Wounds.</t>
  </si>
  <si>
    <t>FID6-11</t>
  </si>
  <si>
    <t>Armor - Dragon</t>
  </si>
  <si>
    <t>Limit 1 armor per Hero. +1 Defense per each other Dragon card this Hero has.</t>
  </si>
  <si>
    <t>FID6-12</t>
  </si>
  <si>
    <t>FID6-13</t>
  </si>
  <si>
    <t>FID6-14</t>
  </si>
  <si>
    <t>FID6-15</t>
  </si>
  <si>
    <t>At the start of your turn, this Hero heals 3 Wounds.</t>
  </si>
  <si>
    <t>FIDR-01</t>
  </si>
  <si>
    <t>FIDR-02</t>
  </si>
  <si>
    <t>+3 dice to a Ranged attack. If the boosted attack deals any Wounds to a Monster, you may deal 1 Wound to all others of the same Tier.</t>
  </si>
  <si>
    <t>FD6-01</t>
  </si>
  <si>
    <t>FD6-02</t>
  </si>
  <si>
    <t>Dragon Glass</t>
  </si>
  <si>
    <t>Lance - Dragon</t>
  </si>
  <si>
    <t>The first diagonal Space counts as Close for this. May target one additional Close Enemy per Dragon card this Hero has.</t>
  </si>
  <si>
    <t>FD6-03</t>
  </si>
  <si>
    <t>FD6-04</t>
  </si>
  <si>
    <t>Each Crit deals an additional Hit.</t>
  </si>
  <si>
    <t>FD6-05</t>
  </si>
  <si>
    <t>If this Rolls any Hits, Move target up to 3 spaces (this Move doesn't trigger Guard Reaction).</t>
  </si>
  <si>
    <t>FD6-06</t>
  </si>
  <si>
    <t>If this rolls any Hits, heal all Wounds from this Hero or one Ally Close to the target.</t>
  </si>
  <si>
    <t>FD6-07</t>
  </si>
  <si>
    <t>If this deals any Wounds, you may unexhaust this card.</t>
  </si>
  <si>
    <t>FD6-08</t>
  </si>
  <si>
    <t>FD6-09</t>
  </si>
  <si>
    <t>+2 dice to a Magic attack. Do not exhaust the boosted Magic attack card.</t>
  </si>
  <si>
    <t>FD6-10</t>
  </si>
  <si>
    <t>Each Wound dealt by the boosted Melee attack heals 3 Wounds from this Hero.</t>
  </si>
  <si>
    <t>FD6-11</t>
  </si>
  <si>
    <t>+1 Movement Point per Dragon card this Hero has.</t>
  </si>
  <si>
    <t>FD6-12</t>
  </si>
  <si>
    <t>FD6-13</t>
  </si>
  <si>
    <t>FD6-14</t>
  </si>
  <si>
    <t>FD6-15</t>
  </si>
  <si>
    <t>FDR-01</t>
  </si>
  <si>
    <t>Each Crit heals 2 Wounds from this Hero.</t>
  </si>
  <si>
    <t>FDR-02</t>
  </si>
  <si>
    <t>Limit 1 armor per Hero. Each Crit adds 2 extra Saves.</t>
  </si>
  <si>
    <t>PET1-01</t>
  </si>
  <si>
    <t>Treat</t>
  </si>
  <si>
    <t>Pet Item</t>
  </si>
  <si>
    <t>PET2-01</t>
  </si>
  <si>
    <t>Pet Healing</t>
  </si>
  <si>
    <t>Whenever this Pet ends its movement Close to an Owner, heal 1 Wound from this Pet and this Owner.</t>
  </si>
  <si>
    <t>PET3-01</t>
  </si>
  <si>
    <t>Intimidate</t>
  </si>
  <si>
    <t>Deal 1 Wound to Enemies that leave a Space Close to this Pet (limit 1 Wound per Enemy per turn).</t>
  </si>
  <si>
    <t>PET4-01</t>
  </si>
  <si>
    <t>Fetching Stick</t>
  </si>
  <si>
    <t>May place one of your Pets Close to the target before rolling this attack.</t>
  </si>
  <si>
    <t>PET5-01</t>
  </si>
  <si>
    <t>Leash</t>
  </si>
  <si>
    <t>Close Enemy Pets lose their Natural Ability.</t>
  </si>
  <si>
    <t>PETR-EMG</t>
  </si>
  <si>
    <t>Pet Armor</t>
  </si>
  <si>
    <t>PETR-TB</t>
  </si>
  <si>
    <t>Pet Whistle</t>
  </si>
  <si>
    <t>This Pet gets 2 extra Movement Points each turn.</t>
  </si>
  <si>
    <t>PETR-FDR</t>
  </si>
  <si>
    <t>Squeaky Toy</t>
  </si>
  <si>
    <t>PETR-NW</t>
  </si>
  <si>
    <t>Altered Beast</t>
  </si>
  <si>
    <t>This Hero gains the Natural Ability of all Pets in his Guild (not counting as an Owner for these abilities).</t>
  </si>
  <si>
    <t>PETR-CP</t>
  </si>
  <si>
    <t>Enrage</t>
  </si>
  <si>
    <t>Exhaust Pet to deal 1 Wound to 1 Enemy in each Space the Pet enters this turn (limit 1 Wound per Enemy).</t>
  </si>
  <si>
    <t>Pets</t>
  </si>
  <si>
    <t>WLLR-01</t>
  </si>
  <si>
    <t>Ignos' Hammerhand</t>
  </si>
  <si>
    <t>Ignores 1 Save result on target's Defense roll.</t>
  </si>
  <si>
    <t>WLLR-02</t>
  </si>
  <si>
    <t>Lava Whip</t>
  </si>
  <si>
    <t>Exotic</t>
  </si>
  <si>
    <t>May take 1 Damnation to redirect the Minion's Payback Reaction to another Hero of your choice.</t>
  </si>
  <si>
    <t>Whole Lotta Lava</t>
  </si>
  <si>
    <t>INFS-01</t>
  </si>
  <si>
    <t>Dusty Blade</t>
  </si>
  <si>
    <t>INFS-02</t>
  </si>
  <si>
    <t>Vile Trident</t>
  </si>
  <si>
    <t>For any attack this Hero makes, he may take 1 Damnation to roll +1 die.</t>
  </si>
  <si>
    <t>INFS-03</t>
  </si>
  <si>
    <t>Short Bow</t>
  </si>
  <si>
    <t>INFS-04</t>
  </si>
  <si>
    <t>Grimbolt</t>
  </si>
  <si>
    <t>If this deals any Wounds, this Hero may take 2 Damnation to deal 1 additional Wound.</t>
  </si>
  <si>
    <t>INFS-05</t>
  </si>
  <si>
    <t>Lifebound</t>
  </si>
  <si>
    <t>Each Hit heals 1 Wound from this Hero or from one Ally Close to the target.</t>
  </si>
  <si>
    <t>INF1-01</t>
  </si>
  <si>
    <t>Fancy Blade</t>
  </si>
  <si>
    <t>INF1-02</t>
  </si>
  <si>
    <t>Katar</t>
  </si>
  <si>
    <t>May be exhausted twice.</t>
  </si>
  <si>
    <t>INF1-03</t>
  </si>
  <si>
    <t>Hellborn</t>
  </si>
  <si>
    <t>To use this, the Hero takes 1 Damnation. If this deals any Wounds, your target is dazed.</t>
  </si>
  <si>
    <t>INF1-04</t>
  </si>
  <si>
    <t>Tainted Bow</t>
  </si>
  <si>
    <t>This Hero may take 1 Damnation to roll +1 die for this attack.</t>
  </si>
  <si>
    <t>INF1-05</t>
  </si>
  <si>
    <t>Chakram</t>
  </si>
  <si>
    <t>INF1-06</t>
  </si>
  <si>
    <t>Cleansing Glow</t>
  </si>
  <si>
    <t>For each Wound this deals, remove 1 Damnation from this Hero.</t>
  </si>
  <si>
    <t>INF1-07</t>
  </si>
  <si>
    <t>Searing</t>
  </si>
  <si>
    <t>INF1-08</t>
  </si>
  <si>
    <t>Dammit Blast</t>
  </si>
  <si>
    <t>If this rolls any Hits when attacking a Hero, the target gets 1 Damnation.</t>
  </si>
  <si>
    <t>INF1-09</t>
  </si>
  <si>
    <t>Angelic Ring</t>
  </si>
  <si>
    <t>+1 die to one Attack card.</t>
  </si>
  <si>
    <t>INF1-10</t>
  </si>
  <si>
    <t>Healing Bracer</t>
  </si>
  <si>
    <t>Each wound dealt by the boosted Melee Attack heals 1 Wound from this Hero.</t>
  </si>
  <si>
    <t>INF1-11</t>
  </si>
  <si>
    <t>Infernal Shield</t>
  </si>
  <si>
    <t>This Hero may take 1 Damnation to roll an extra Defense die.</t>
  </si>
  <si>
    <t>INF1-12</t>
  </si>
  <si>
    <t>Cloven Hoof</t>
  </si>
  <si>
    <t>At the start of his activation, this Hero may take 1 Damnation to heal 1 Wound.</t>
  </si>
  <si>
    <t>INF1-13</t>
  </si>
  <si>
    <t>Drive Thru</t>
  </si>
  <si>
    <t>Your Lance and Exotic attacks may target an additional Enemy Close to this Hero.</t>
  </si>
  <si>
    <t>INF1-14</t>
  </si>
  <si>
    <t>Crusader Shot</t>
  </si>
  <si>
    <t>Your Bow and Thrown Weapon attacks roll +1 die if the target has any Damnation.</t>
  </si>
  <si>
    <t>INF2-01</t>
  </si>
  <si>
    <t>Shiny Blade</t>
  </si>
  <si>
    <t>INF2-02</t>
  </si>
  <si>
    <t>Dammit Whip</t>
  </si>
  <si>
    <t>INF2-03</t>
  </si>
  <si>
    <t>Grievous Trident</t>
  </si>
  <si>
    <t>INF2-04</t>
  </si>
  <si>
    <t>Ghastly Bow</t>
  </si>
  <si>
    <t>To use this, the Hero takes 1 Damnation.</t>
  </si>
  <si>
    <t>INF2-05</t>
  </si>
  <si>
    <t>Widowmaker</t>
  </si>
  <si>
    <t>Roll an extra die for each Hit obtained from a non-Crit result.</t>
  </si>
  <si>
    <t>INF2-06</t>
  </si>
  <si>
    <t>Shockwave</t>
  </si>
  <si>
    <t>INF2-07</t>
  </si>
  <si>
    <t>Lifebound II</t>
  </si>
  <si>
    <t>Each Hit heals 1 Wound from this Hero and one Ally Close to the target.</t>
  </si>
  <si>
    <t>INF2-08</t>
  </si>
  <si>
    <t>Nasty Pendant</t>
  </si>
  <si>
    <t>+2 dice to one attack card. To use this, the Hero takes 1 Wound.</t>
  </si>
  <si>
    <t>INF2-09</t>
  </si>
  <si>
    <t>Horned Shield</t>
  </si>
  <si>
    <t>INF2-10</t>
  </si>
  <si>
    <t>Infernal Plate</t>
  </si>
  <si>
    <t>INF2-11</t>
  </si>
  <si>
    <t>Crusader Strike</t>
  </si>
  <si>
    <t>INF2-12</t>
  </si>
  <si>
    <t>Vicious Ring</t>
  </si>
  <si>
    <t>This Hero may take 1 Damnation to gain an extra Reroll.</t>
  </si>
  <si>
    <t>INF2-13</t>
  </si>
  <si>
    <t>Redemption Glass</t>
  </si>
  <si>
    <t>At the start of your turn, this Hero heals 1 Wound or 1 Damnation.</t>
  </si>
  <si>
    <t>INF2-14</t>
  </si>
  <si>
    <t>Once on each of your turns, this Hero may take 1 Damnation to immediately Move 1 Space.</t>
  </si>
  <si>
    <t>INF3-01</t>
  </si>
  <si>
    <t>Ashen Mace</t>
  </si>
  <si>
    <t>If this deals any Wounds, choose and exhaust one of the target's cards.</t>
  </si>
  <si>
    <t>INF3-02</t>
  </si>
  <si>
    <t>Dual Katar</t>
  </si>
  <si>
    <t>INF3-03</t>
  </si>
  <si>
    <t>Nefarious Stomp</t>
  </si>
  <si>
    <t>INF3-04</t>
  </si>
  <si>
    <t>Brittany Bow</t>
  </si>
  <si>
    <t>INF3-05</t>
  </si>
  <si>
    <t>Golden Chakram</t>
  </si>
  <si>
    <t>INF3-06</t>
  </si>
  <si>
    <t>Grimbolt II</t>
  </si>
  <si>
    <t>INF3-07</t>
  </si>
  <si>
    <t>Searing II</t>
  </si>
  <si>
    <t>INF3-08</t>
  </si>
  <si>
    <t>Chasten</t>
  </si>
  <si>
    <t>This attack rolls +1 die if the target Hero has any Damnation.</t>
  </si>
  <si>
    <t>INF3-09</t>
  </si>
  <si>
    <t>Healing Bracer II</t>
  </si>
  <si>
    <t>INF3-10</t>
  </si>
  <si>
    <t>Wand of Swiftness</t>
  </si>
  <si>
    <t>INF3-11</t>
  </si>
  <si>
    <t>Blond Elf Gloves</t>
  </si>
  <si>
    <t>INF3-12</t>
  </si>
  <si>
    <t>Profane Shield</t>
  </si>
  <si>
    <t>INF3-13</t>
  </si>
  <si>
    <t>Cloven Hoof II</t>
  </si>
  <si>
    <t>At the start of his activation, this Hero may take 1 Damnation to heal 2 Wounds.</t>
  </si>
  <si>
    <t>INF3-14</t>
  </si>
  <si>
    <t>Batter Up!</t>
  </si>
  <si>
    <t>INF3-15</t>
  </si>
  <si>
    <t>Thorny Bracer</t>
  </si>
  <si>
    <t>Each Hit cancelled by this Hero's Defense roll deals 1 Wound and 1 Damnation to the attacking Hero.</t>
  </si>
  <si>
    <t>INF4-01</t>
  </si>
  <si>
    <t>Megablade</t>
  </si>
  <si>
    <t>INF4-02</t>
  </si>
  <si>
    <t>Mourning Star</t>
  </si>
  <si>
    <t>INF4-03</t>
  </si>
  <si>
    <t>Maleficent Trident</t>
  </si>
  <si>
    <t>For any attack this Hero makes, he may take 2 Damnation to roll +2 die.</t>
  </si>
  <si>
    <t>INF4-04</t>
  </si>
  <si>
    <t>Widow's Lament</t>
  </si>
  <si>
    <t>INF4-05</t>
  </si>
  <si>
    <t>Hateful Bow</t>
  </si>
  <si>
    <t>INF4-06</t>
  </si>
  <si>
    <t>Shockwave II</t>
  </si>
  <si>
    <t>INF4-07</t>
  </si>
  <si>
    <t>Cleansing Glow II</t>
  </si>
  <si>
    <t>For each Wound this deals, remove 1 Damnation from this Hero or from one Close Ally.</t>
  </si>
  <si>
    <t>INF4-08</t>
  </si>
  <si>
    <t>Lifebound III</t>
  </si>
  <si>
    <t>Each Hit heals 1 Wound from this Hero and all Allies Close to the target.</t>
  </si>
  <si>
    <t>INF4-09</t>
  </si>
  <si>
    <t>Blond Elf Gloves II</t>
  </si>
  <si>
    <t>INF4-10</t>
  </si>
  <si>
    <t>Angelic Ring II</t>
  </si>
  <si>
    <t>+2 dice to one Attack card.</t>
  </si>
  <si>
    <t>INF4-11</t>
  </si>
  <si>
    <t>Unholy Shield</t>
  </si>
  <si>
    <t>INF4-12</t>
  </si>
  <si>
    <t>Unholy Plate</t>
  </si>
  <si>
    <t>INF4-13</t>
  </si>
  <si>
    <t>Crusader Shot II</t>
  </si>
  <si>
    <t>Your Bow and Thrown Weapon attacks roll +2 dice if the target has any Damnation.</t>
  </si>
  <si>
    <t>INF4-14</t>
  </si>
  <si>
    <t>Drive Thru II</t>
  </si>
  <si>
    <t>Your Lance and Exotic attacks may target all Enemies Close to this Hero.</t>
  </si>
  <si>
    <t>INF4-15</t>
  </si>
  <si>
    <t>Redemption Glass II</t>
  </si>
  <si>
    <t>At the start of your turn, this Hero heals 2 Wounds and 2 Damnation.</t>
  </si>
  <si>
    <t>INF4-16</t>
  </si>
  <si>
    <t>Vicious Ring II</t>
  </si>
  <si>
    <t>INF4-17</t>
  </si>
  <si>
    <t>Sophie's Chalice</t>
  </si>
  <si>
    <t>INF5-01</t>
  </si>
  <si>
    <t>Uberblade</t>
  </si>
  <si>
    <t>INF5-02</t>
  </si>
  <si>
    <t>Ball Breaker</t>
  </si>
  <si>
    <t>If this deals any Wounds, exhaust all of the target's cards.</t>
  </si>
  <si>
    <t>INF5-03</t>
  </si>
  <si>
    <t>Trine Katar</t>
  </si>
  <si>
    <t>INF5-04</t>
  </si>
  <si>
    <t>Viper Bow</t>
  </si>
  <si>
    <t>This Hero may take 2 Damnation to roll +2 dice for this attack.</t>
  </si>
  <si>
    <t>INF5-05</t>
  </si>
  <si>
    <t>Neon Chakram</t>
  </si>
  <si>
    <t>INF5-06</t>
  </si>
  <si>
    <t>Shockwave III</t>
  </si>
  <si>
    <t>INF5-07</t>
  </si>
  <si>
    <t>Grimbolt III</t>
  </si>
  <si>
    <t>INF5-08</t>
  </si>
  <si>
    <t>Chasten III</t>
  </si>
  <si>
    <t>This attack rolls +2 dice if the target Hero has any Damnation.</t>
  </si>
  <si>
    <t>INF5-09</t>
  </si>
  <si>
    <t>Angelic Ring III</t>
  </si>
  <si>
    <t>+3 dice to one Attack card.</t>
  </si>
  <si>
    <t>INF5-10</t>
  </si>
  <si>
    <t>Wand of Swiftness II</t>
  </si>
  <si>
    <t>+2 dice to a Magic attack card. After the attack, this Hero gains 1 extra Movement Point to use this turn.</t>
  </si>
  <si>
    <t>INF5-11</t>
  </si>
  <si>
    <t>Ultraviolent Shield</t>
  </si>
  <si>
    <t>This Hero may take 2 Damnation to roll an extra +2 Defense dice.</t>
  </si>
  <si>
    <t>INF5-12</t>
  </si>
  <si>
    <t>Ultraviolent Plate</t>
  </si>
  <si>
    <t>INF5-13</t>
  </si>
  <si>
    <t>Grand Finale</t>
  </si>
  <si>
    <t>If this Hero dies, all Close Enemies take 2 Wounds each.</t>
  </si>
  <si>
    <t>INF5-14</t>
  </si>
  <si>
    <t>Twinspell</t>
  </si>
  <si>
    <t>This Hero may take 2 Damnation before rolling so his Magic attack may target an extra Enemy in Line of Sight.</t>
  </si>
  <si>
    <t>INF5-15</t>
  </si>
  <si>
    <t>Last Wish</t>
  </si>
  <si>
    <t>X = Total Wounds on this Hero.</t>
  </si>
  <si>
    <t>INF5-16</t>
  </si>
  <si>
    <t>Powah Pendant</t>
  </si>
  <si>
    <t>+2 dice on all rolls.</t>
  </si>
  <si>
    <t>INFR-BGH</t>
  </si>
  <si>
    <t>The Finisher</t>
  </si>
  <si>
    <t>This rolls +1 die for each Wound the target Hero has.</t>
  </si>
  <si>
    <t>INFR-LD</t>
  </si>
  <si>
    <t>Collector's Plate</t>
  </si>
  <si>
    <t>INFR-WTS</t>
  </si>
  <si>
    <t>Rock Bottom Helm</t>
  </si>
  <si>
    <t>Once per activation, activate a Minion of any type in Line of Sight, performing only its Movement.</t>
  </si>
  <si>
    <t>INFR-BD</t>
  </si>
  <si>
    <t>Piercing Judgement</t>
  </si>
  <si>
    <t>This rolls +2 dice if the target Hero has any Damnation.</t>
  </si>
  <si>
    <t>INFR-TF</t>
  </si>
  <si>
    <t>Hallowed Flask</t>
  </si>
  <si>
    <t>Allies that enter this Hero's Space may remove all Damnation.</t>
  </si>
  <si>
    <t>INFR-FT</t>
  </si>
  <si>
    <t>Swapstone</t>
  </si>
  <si>
    <t>Before any attack, choose 2 enemies within Line of Sight and switch their places.</t>
  </si>
  <si>
    <t>Inferno</t>
  </si>
  <si>
    <t>BGS-01</t>
  </si>
  <si>
    <t>Beyond the Grave</t>
  </si>
  <si>
    <t>BG1-01</t>
  </si>
  <si>
    <t>BG1-02</t>
  </si>
  <si>
    <t>Holy Nova</t>
  </si>
  <si>
    <t>If you deal any Wounds, the target and an additional Enemy close to you are Dazed.</t>
  </si>
  <si>
    <t>BG1-03</t>
  </si>
  <si>
    <t>Deadshot</t>
  </si>
  <si>
    <t>BG2-01</t>
  </si>
  <si>
    <t>Sorrow</t>
  </si>
  <si>
    <t>+1 attack die per Death token on this Hero.</t>
  </si>
  <si>
    <t>BG2-02</t>
  </si>
  <si>
    <t>Rune Ring</t>
  </si>
  <si>
    <t>BG2-03</t>
  </si>
  <si>
    <t>Before you roll, predict how many hits or saves you will get. If you can get that many exactly, double the result.</t>
  </si>
  <si>
    <t>BG2-04</t>
  </si>
  <si>
    <t>Boneguard</t>
  </si>
  <si>
    <t>BG3-01</t>
  </si>
  <si>
    <t>Throwing Axe</t>
  </si>
  <si>
    <t>Each Crit deals one additional hit.</t>
  </si>
  <si>
    <t>BG3-02</t>
  </si>
  <si>
    <t>Summoning</t>
  </si>
  <si>
    <t>BG3-03</t>
  </si>
  <si>
    <t>Impale</t>
  </si>
  <si>
    <t>If you roll any Crit on a Sword or Lance attack, you may target one additional Enemy Close to the target.</t>
  </si>
  <si>
    <t>BG4-01</t>
  </si>
  <si>
    <t>Skull Mace</t>
  </si>
  <si>
    <t>BG4-02</t>
  </si>
  <si>
    <t>Banish</t>
  </si>
  <si>
    <t>Place the target in the Spawn tile unless he takes 2 extra Wounds (banishment does not count as a kill).</t>
  </si>
  <si>
    <t>BG4-03</t>
  </si>
  <si>
    <t>Rabbit's Foot</t>
  </si>
  <si>
    <t>Exhaust your Hero card to roll again from scratch either your attack or an attack made against you.</t>
  </si>
  <si>
    <t>BG4-04</t>
  </si>
  <si>
    <t>Necronomicon</t>
  </si>
  <si>
    <t>+1 die to any attack per Death token on the target</t>
  </si>
  <si>
    <t>BG4-05</t>
  </si>
  <si>
    <t>Holy Nova II</t>
  </si>
  <si>
    <t>If this attack deals any Wounds, your target and all Enemies Close to you are Dazed.</t>
  </si>
  <si>
    <t>BG5-01</t>
  </si>
  <si>
    <t>Hunter Crossbow</t>
  </si>
  <si>
    <t>BG5-02</t>
  </si>
  <si>
    <t>Wither</t>
  </si>
  <si>
    <t>BG5-03</t>
  </si>
  <si>
    <t>Warding Signet</t>
  </si>
  <si>
    <t>BG5-04</t>
  </si>
  <si>
    <t>Impale II</t>
  </si>
  <si>
    <t>For each Crit you roll on a Sword or Lance attack, you may target one additional Enemy Close to the target.</t>
  </si>
  <si>
    <t>BGE-HB</t>
  </si>
  <si>
    <t>Spinal Tap</t>
  </si>
  <si>
    <t>BGR-SH</t>
  </si>
  <si>
    <t>Flaming Chain</t>
  </si>
  <si>
    <t>BGR-CR</t>
  </si>
  <si>
    <t>Soulstone</t>
  </si>
  <si>
    <t>If this Hero would be killed when his Hero card is unexhausted, he may exhaust it to stay alive, with 2 Wounds less than his total Life.</t>
  </si>
  <si>
    <t>BGR-BD</t>
  </si>
  <si>
    <t>BGR-TG</t>
  </si>
  <si>
    <t>Tombstone Shield</t>
  </si>
  <si>
    <t>And an extra +1 Defense per Death token on this Hero.</t>
  </si>
  <si>
    <t>BGR-BS</t>
  </si>
  <si>
    <t>Holy Water</t>
  </si>
  <si>
    <t>If attacking a Minion, each Crit rolled immediately deals an extra Wound.</t>
  </si>
  <si>
    <t>BGR-MS</t>
  </si>
  <si>
    <t>Skull Helm</t>
  </si>
  <si>
    <t>If this Hero has Boneguard, cancel 1 Wound per attack.</t>
  </si>
  <si>
    <t>BGR-SL</t>
  </si>
  <si>
    <t>Hulking Serum</t>
  </si>
  <si>
    <t>Double the Attack dice of a non-Magic attack card.</t>
  </si>
  <si>
    <t>S-01</t>
  </si>
  <si>
    <t>S-02</t>
  </si>
  <si>
    <t>S-03</t>
  </si>
  <si>
    <t>S-04</t>
  </si>
  <si>
    <t>S-05</t>
  </si>
  <si>
    <t>Orc Beater</t>
  </si>
  <si>
    <t>Rolls +1 die against Orcs and Goblins.</t>
  </si>
  <si>
    <t>If this rolls any hits, move the target up to 3 spaces (this Move doesn't trigger Guard Reaction).</t>
  </si>
  <si>
    <t>1-08</t>
  </si>
  <si>
    <t>Once per attack, you may take 1 Wound to add +1 die.</t>
  </si>
  <si>
    <t>If this deals any Wounds, your target is Dazed.</t>
  </si>
  <si>
    <t>Quickshot</t>
  </si>
  <si>
    <t>Only Crit on the Defense roll score saves against this attack.</t>
  </si>
  <si>
    <t>Each hit heals 1 Wound from this Hero and one Close Ally.</t>
  </si>
  <si>
    <t>Knight's Plate</t>
  </si>
  <si>
    <t>Knight's Shield</t>
  </si>
  <si>
    <t>Each hit cancelled by this Hero's Defense roll deals 1 Wound to the attacker.</t>
  </si>
  <si>
    <t>Heart of the Unicorn</t>
  </si>
  <si>
    <t>Blazing Shot</t>
  </si>
  <si>
    <t>+2 dice to a Bow attack. This Hero takes 1 Wound.</t>
  </si>
  <si>
    <t>2-11</t>
  </si>
  <si>
    <t>At the start of your turn, you may switch places between this Hero and an Ally (drop all Quest tokens).</t>
  </si>
  <si>
    <t>Celerity Stick</t>
  </si>
  <si>
    <t>This Hero may take 1 Wound to unexhaust all of his cards.</t>
  </si>
  <si>
    <t>+2 dice to a non-Magic Melee attack. This Hero takes 1 Wound.</t>
  </si>
  <si>
    <t>2-14</t>
  </si>
  <si>
    <t>Crack of Dawn</t>
  </si>
  <si>
    <t>Rolls +1 die against Heroes.</t>
  </si>
  <si>
    <t>3-01</t>
  </si>
  <si>
    <t>If this deals any Wounds, your target and 1 additional Enemy Close to it are Dazed.</t>
  </si>
  <si>
    <t>Da Bomb</t>
  </si>
  <si>
    <t>Nova Bolt II</t>
  </si>
  <si>
    <t>Only targets any Enemy on the board that's Close to an Ally of yours. (May be used by a dead Hero. Does not trigger Payback Reaction.)</t>
  </si>
  <si>
    <t>Wind Blast II</t>
  </si>
  <si>
    <t>Die Booten</t>
  </si>
  <si>
    <t>More Grrrrrrrrr!</t>
  </si>
  <si>
    <t>Once per attack, you may take 2 Wounds to add +2 die.</t>
  </si>
  <si>
    <t>Genesis Glass</t>
  </si>
  <si>
    <t>At the start of your turn, this Hero heals 1 Wound.</t>
  </si>
  <si>
    <t>Lord's Plate</t>
  </si>
  <si>
    <t>Battle Cry</t>
  </si>
  <si>
    <t>If your attack rolls any Crit, you may activate another allied Hero this turn.</t>
  </si>
  <si>
    <t>+1 die to a Magic attack. Do not exhaust the boosted Magic attack card.</t>
  </si>
  <si>
    <t>4-01</t>
  </si>
  <si>
    <t>4-02</t>
  </si>
  <si>
    <t>Only Crit on the Defense roll score saves against this attack</t>
  </si>
  <si>
    <t>Burninate</t>
  </si>
  <si>
    <t>Bloodthirst</t>
  </si>
  <si>
    <t>Each Crit deals 2 additional hits.</t>
  </si>
  <si>
    <t>Hate II</t>
  </si>
  <si>
    <t>Death Swarm</t>
  </si>
  <si>
    <t>If this rolls any Crit, take 2 monsters from the Spawn tile and place them anywhere on the board.</t>
  </si>
  <si>
    <t>King's Plate</t>
  </si>
  <si>
    <t>4-09</t>
  </si>
  <si>
    <t>Life Drain III</t>
  </si>
  <si>
    <t>Each hit heals 1 Wound from this Hero and all Close Allies.</t>
  </si>
  <si>
    <t>King's Shield</t>
  </si>
  <si>
    <t>Book of the Dead</t>
  </si>
  <si>
    <t>When attacking, add +1 die per Death token in your Guild.</t>
  </si>
  <si>
    <t>Each Wound dealt by the boosted Magic attack heals 1 Wound from this Hero.</t>
  </si>
  <si>
    <t>Heart of the Phoenix</t>
  </si>
  <si>
    <t>Cleave II</t>
  </si>
  <si>
    <t>Your Sword and Axe attacks may target all Enemies Close to this Hero</t>
  </si>
  <si>
    <t>If this rolls any Crit, target cannot roll Defense.</t>
  </si>
  <si>
    <t>Trueshot</t>
  </si>
  <si>
    <t>Bomb Appetit</t>
  </si>
  <si>
    <t>Ground Pounder</t>
  </si>
  <si>
    <t>If this deals a Wound, your target and all Enemies Close to it are Dazed.</t>
  </si>
  <si>
    <t>Astral Strike II</t>
  </si>
  <si>
    <t>Burninate II</t>
  </si>
  <si>
    <t>Emperor's Plate</t>
  </si>
  <si>
    <t>Double your total Defense dice.</t>
  </si>
  <si>
    <t>X= Total Wounds on this Hero.</t>
  </si>
  <si>
    <t>Heart of the Dragon</t>
  </si>
  <si>
    <t>Each Crit on this Hero's Defense roll adds one extra save.</t>
  </si>
  <si>
    <t>Amulet of Rawr!</t>
  </si>
  <si>
    <t>+2 dice on Attack rolls.</t>
  </si>
  <si>
    <t>5-12</t>
  </si>
  <si>
    <t>Each Crit on a Bow attack deals one extra hit.</t>
  </si>
  <si>
    <t>Apocalypse Crown</t>
  </si>
  <si>
    <t>When attacking, add +1 die for each Wound on this Hero.</t>
  </si>
  <si>
    <t>Moon Ring III</t>
  </si>
  <si>
    <t>5-16</t>
  </si>
  <si>
    <t>Genesis Glass II</t>
  </si>
  <si>
    <t>At the start of your turn, this Hero heals 2 Wounds.</t>
  </si>
  <si>
    <t>R-DH</t>
  </si>
  <si>
    <t>Skullcracker</t>
  </si>
  <si>
    <t>R-MG</t>
  </si>
  <si>
    <t>Captain's Blade</t>
  </si>
  <si>
    <t>R-OH</t>
  </si>
  <si>
    <t>Greenskin Bane</t>
  </si>
  <si>
    <t>+1 die against Orcs and Goblins.</t>
  </si>
  <si>
    <t>R-TM</t>
  </si>
  <si>
    <t>Whenever this Hero suffers any Wounds, heal 1 Wound from all Allies.</t>
  </si>
  <si>
    <t>R-TR</t>
  </si>
  <si>
    <t>For this attack, the first diagonal Space counts as being Close.</t>
  </si>
  <si>
    <t>R-S1</t>
  </si>
  <si>
    <t>Sack O' Bones</t>
  </si>
  <si>
    <t>Heal 2 Wounds whenever this Hero kills an Enemy.</t>
  </si>
  <si>
    <t>R-S2</t>
  </si>
  <si>
    <t>Each Crit deals one additional hit and heals 1 Wound from this Hero.</t>
  </si>
  <si>
    <t>R-RD</t>
  </si>
  <si>
    <t>Deal 2 Wounds to an Enemy that leaves a Space Close to this Hero (limit once per Enemy per turn).</t>
  </si>
  <si>
    <t>R-UP</t>
  </si>
  <si>
    <t>This Hero has 2 additional inventory slots for Magic Attack cards.</t>
  </si>
  <si>
    <t>R-ED</t>
  </si>
  <si>
    <t>When this Hero moves, deal 1 Wound to each Close Enemy (limit 1 Wound per Enemy per turn).</t>
  </si>
  <si>
    <t>R-AD</t>
  </si>
  <si>
    <t>Bomb</t>
  </si>
  <si>
    <t>R-BA</t>
  </si>
  <si>
    <t>Shield of Souls</t>
  </si>
  <si>
    <t>Arcadia Quest</t>
  </si>
  <si>
    <t>Riders</t>
  </si>
  <si>
    <t>RIDS-01</t>
  </si>
  <si>
    <t>Mallet</t>
  </si>
  <si>
    <t>War Mallet</t>
  </si>
  <si>
    <t>RID1-01</t>
  </si>
  <si>
    <t>RID1-02</t>
  </si>
  <si>
    <t>Whip</t>
  </si>
  <si>
    <t>If this rolls any Crit, the target can't use Rerolls on the Defense roll.</t>
  </si>
  <si>
    <t>If this deals any Wounds, the target is Dazed.</t>
  </si>
  <si>
    <t>Stirrup</t>
  </si>
  <si>
    <t>RID1-03</t>
  </si>
  <si>
    <t>Mount Item</t>
  </si>
  <si>
    <t>Mounting and dismounting this Mount does not cost a Movement Point.</t>
  </si>
  <si>
    <t>RID2-01</t>
  </si>
  <si>
    <t>Javelin</t>
  </si>
  <si>
    <t>Rolls +1 die against Minions of any type.</t>
  </si>
  <si>
    <t>RID2-02</t>
  </si>
  <si>
    <t>Sunbeam</t>
  </si>
  <si>
    <t>May target any Hero in an Outdoor Space (no Line of Sight required)</t>
  </si>
  <si>
    <t>RID2-03</t>
  </si>
  <si>
    <t>Barbarian Bridle</t>
  </si>
  <si>
    <t>RID3-01</t>
  </si>
  <si>
    <t>Cool Whip</t>
  </si>
  <si>
    <t>RID3-02</t>
  </si>
  <si>
    <t>Mount Whisperer</t>
  </si>
  <si>
    <t>RID3-03</t>
  </si>
  <si>
    <t>Mount Plate</t>
  </si>
  <si>
    <t>Negates 1 Wound this Mount would take from every attack.</t>
  </si>
  <si>
    <t>RID4-01</t>
  </si>
  <si>
    <t>Advanced Javelin</t>
  </si>
  <si>
    <t>RID4-02</t>
  </si>
  <si>
    <t>Sunbeam II</t>
  </si>
  <si>
    <t>RID4-03</t>
  </si>
  <si>
    <t>Warden's Saddle</t>
  </si>
  <si>
    <t>RID5-01</t>
  </si>
  <si>
    <t>Epic Whip</t>
  </si>
  <si>
    <t>RID5-02</t>
  </si>
  <si>
    <t>Mount Whisperer II</t>
  </si>
  <si>
    <t>RID5-03</t>
  </si>
  <si>
    <t>Mountshoe</t>
  </si>
  <si>
    <t>At the start of your turn, both this Mount and its Rider heal 1 Wound.</t>
  </si>
  <si>
    <t>RIDR-DJ</t>
  </si>
  <si>
    <t>Comfy Saddle</t>
  </si>
  <si>
    <t>This Mount may exhaust its Mount card twice.</t>
  </si>
  <si>
    <t>RIDR-DBRB</t>
  </si>
  <si>
    <t>Hearty Pad</t>
  </si>
  <si>
    <t>RIDR-HCSG</t>
  </si>
  <si>
    <t>Lucky Bridle</t>
  </si>
  <si>
    <t>RIDR-AMSF</t>
  </si>
  <si>
    <t>Stirr-it-up</t>
  </si>
  <si>
    <t>When you activate a different hero, you may move this Mount and its Rider 1 Space.</t>
  </si>
  <si>
    <t>RIDR-GA</t>
  </si>
  <si>
    <t>Warshoe</t>
  </si>
  <si>
    <t>At the end of your turn, you may deal 1 Wound to any Close Enemies.</t>
  </si>
  <si>
    <t>Quest</t>
  </si>
  <si>
    <t>Destroy Malkhor's Trophies</t>
  </si>
  <si>
    <t>Destroy the Rendezvous Point</t>
  </si>
  <si>
    <t>Destroy the Weapons</t>
  </si>
  <si>
    <t>Protect the Mounts' Food</t>
  </si>
  <si>
    <t>Find the Lucky Bone</t>
  </si>
  <si>
    <t>Feed the Wild Pets</t>
  </si>
  <si>
    <t>Find and escort 1 Quest token to a Wild Pet.</t>
  </si>
  <si>
    <t>Destroy 1 Quest token.</t>
  </si>
  <si>
    <t>Find and collect the Quest token of your Guild color.</t>
  </si>
  <si>
    <t>Get the Clues</t>
  </si>
  <si>
    <t>Collect 2 Quest tokens.</t>
  </si>
  <si>
    <t>Tame a Wild Mount</t>
  </si>
  <si>
    <t>Have a Hero mount a Close Wild Mount.</t>
  </si>
  <si>
    <t>Win the Race</t>
  </si>
  <si>
    <t>Be the first to have a Mount and its Rider on the designated Space.</t>
  </si>
  <si>
    <t>Save the Pets</t>
  </si>
  <si>
    <t>Escort your Guild's Pet to the designated area of the map.</t>
  </si>
  <si>
    <t>Breathless Run</t>
  </si>
  <si>
    <t>Collect any Spawn token.</t>
  </si>
  <si>
    <t>Escort 1 Spawn token to one of the designated Spaces.</t>
  </si>
  <si>
    <t>Stop the Undead</t>
  </si>
  <si>
    <t>Clean Sweep</t>
  </si>
  <si>
    <t>Shove one Goblin Archer or Harpy to an Outdoor Space.</t>
  </si>
  <si>
    <t>Kill Malkhor</t>
  </si>
  <si>
    <t>Kill Malkhor.</t>
  </si>
  <si>
    <t>May target all Enemies Close to this Hero.</t>
  </si>
  <si>
    <t>If this deals any Wounds, your target and all Enemies Close to you are Dazed.</t>
  </si>
  <si>
    <t>Jacklol</t>
  </si>
  <si>
    <t>Minor Minion</t>
  </si>
  <si>
    <t>6</t>
  </si>
  <si>
    <t>Malkhor</t>
  </si>
  <si>
    <t>Crit on Attack rolls give him 2 extra dice instead of 1.</t>
  </si>
  <si>
    <t>Crit on Attack rolls give him 2 extra dice instead of 1. Gains +2 Rerolls while Close to any Mount.</t>
  </si>
  <si>
    <t>Attack Name</t>
  </si>
  <si>
    <t>Laughing Frenzy</t>
  </si>
  <si>
    <t>Dead Shot</t>
  </si>
  <si>
    <t>Ability Name</t>
  </si>
  <si>
    <t>Ability Description</t>
  </si>
  <si>
    <t>Gaston</t>
  </si>
  <si>
    <t>Double Feature</t>
  </si>
  <si>
    <t>Colette</t>
  </si>
  <si>
    <t>Follow Up</t>
  </si>
  <si>
    <t>Bawkbawk</t>
  </si>
  <si>
    <t>Chicken Wings</t>
  </si>
  <si>
    <t>Toshi</t>
  </si>
  <si>
    <t>Trample</t>
  </si>
  <si>
    <t>During this activation, when you Shove Characters, you may also Daze them.</t>
  </si>
  <si>
    <t>Luda</t>
  </si>
  <si>
    <t>Excited Bouncing</t>
  </si>
  <si>
    <t>During this activation, when you Shove Heroes, exhaust all cards from each Shoved Hero unless each takes 2 Wounds.</t>
  </si>
  <si>
    <t>Tianlong</t>
  </si>
  <si>
    <t>Dragon Fire</t>
  </si>
  <si>
    <t>Perform a 4 dice Ranged Attack against an Enemy in Line of Sight.</t>
  </si>
  <si>
    <t>Hornsteady</t>
  </si>
  <si>
    <t>Sudden Charge</t>
  </si>
  <si>
    <t>During this activation, when you Shove Characters, you also deal 1 Wound to them.</t>
  </si>
  <si>
    <t>Beka</t>
  </si>
  <si>
    <t>Flutter</t>
  </si>
  <si>
    <t>During this activation, this Mount doesn't trigger Guard Reaction.</t>
  </si>
  <si>
    <t>Phantom</t>
  </si>
  <si>
    <t>Fierce Growl</t>
  </si>
  <si>
    <t>Move a Mount and its Rider in Line of Sight up to 3 Spaces (this Move triggers Guard Reactions).</t>
  </si>
  <si>
    <t>Stonebeak</t>
  </si>
  <si>
    <t>Sweep n' Drop</t>
  </si>
  <si>
    <t>During this activation, when you Shove Characters, you may place them in any Space in Line of Sight.</t>
  </si>
  <si>
    <t>Wild Pet</t>
  </si>
  <si>
    <t>Vicious Bite</t>
  </si>
  <si>
    <t>Does not occupy a Space.</t>
  </si>
  <si>
    <t>Scrag</t>
  </si>
  <si>
    <t>Sub-title</t>
  </si>
  <si>
    <t>Mascot Pet</t>
  </si>
  <si>
    <t>I Hate Pets!</t>
  </si>
  <si>
    <t>When Scrag ends his Movement, he deals 1 Wound to 1 Close Enemy Pet.</t>
  </si>
  <si>
    <t>When Scrag ends his Movement, he deals 1 Wound to 2 Close Enemy Pets.</t>
  </si>
  <si>
    <t>When Scrag ends his Movement, he deals 2 Wounds to All Close Enemy Pets.</t>
  </si>
  <si>
    <t>Ace</t>
  </si>
  <si>
    <t>Dog Pet</t>
  </si>
  <si>
    <t>Fetch</t>
  </si>
  <si>
    <t>Whenever Ace moves, he may move 1 Exploration Token in his Space along with him.</t>
  </si>
  <si>
    <t>Whenever Ace moves, he may move up to 2 Exploration Tokens in his Space along with him.</t>
  </si>
  <si>
    <t>Barnaby</t>
  </si>
  <si>
    <t>Monkey Pet</t>
  </si>
  <si>
    <t>Fling Poop</t>
  </si>
  <si>
    <t>Close Enemies roll -2 Defense dice against Owners.</t>
  </si>
  <si>
    <t>Close Enemies roll -3 Defense dice against Owners.</t>
  </si>
  <si>
    <t>Biru</t>
  </si>
  <si>
    <t>Biru!</t>
  </si>
  <si>
    <t>Entering and leaving Biru's Space costs no Movement Points to Owners.</t>
  </si>
  <si>
    <t>Bones</t>
  </si>
  <si>
    <t>Skelebone Pet</t>
  </si>
  <si>
    <t>Deathbound</t>
  </si>
  <si>
    <t>Bones may take Wounds that Close Owners would have taken. Wounds cannot exceed his Life.</t>
  </si>
  <si>
    <t>Bumble</t>
  </si>
  <si>
    <t>Panda Pet</t>
  </si>
  <si>
    <t>Hug Aura</t>
  </si>
  <si>
    <t>Enemy Heroes have to take 1 Wound to attack Close Owners.</t>
  </si>
  <si>
    <t>Enemy Heroes have to take 2 Wounds to attack Close Owners.</t>
  </si>
  <si>
    <t>Cerby</t>
  </si>
  <si>
    <t>Helldog Pet</t>
  </si>
  <si>
    <t>Sic 'em!</t>
  </si>
  <si>
    <t>Gadget</t>
  </si>
  <si>
    <t>Critter Pet</t>
  </si>
  <si>
    <t>Hold the Door!</t>
  </si>
  <si>
    <t>Miau</t>
  </si>
  <si>
    <t>Kitten Pet</t>
  </si>
  <si>
    <t>Lucky</t>
  </si>
  <si>
    <t>Moonpie</t>
  </si>
  <si>
    <t>Pony Pet</t>
  </si>
  <si>
    <t>Aura of Friendship</t>
  </si>
  <si>
    <t>Close Heroes must exhaust an extra attack card to attack Owners.</t>
  </si>
  <si>
    <t>Newton</t>
  </si>
  <si>
    <t>Chameleon Pet</t>
  </si>
  <si>
    <t>Blend In</t>
  </si>
  <si>
    <t>Owners leaving Newton's Space don't trigger Guard Reactions.</t>
  </si>
  <si>
    <t>Nixon</t>
  </si>
  <si>
    <t>Badger Pet</t>
  </si>
  <si>
    <t>Each Crit that Close Owners roll on Defense score an additional Save.</t>
  </si>
  <si>
    <t>Burrow</t>
  </si>
  <si>
    <t>Each Crit that Close Owners roll on Defense score 2 additional Saves.</t>
  </si>
  <si>
    <t>Owlbunny</t>
  </si>
  <si>
    <t>Mutated Pet</t>
  </si>
  <si>
    <t>Call of Nature</t>
  </si>
  <si>
    <t>Whenever he Moves, may Move 1 Pet in his Space along with him.</t>
  </si>
  <si>
    <t>Whenever he Moves, may Move up to 2 Pets in his Space along with him.</t>
  </si>
  <si>
    <t>Whenever he Moves, may Move up to 3 Pets in his Space along with him.</t>
  </si>
  <si>
    <t>Padfeet</t>
  </si>
  <si>
    <t>Wolfie Pet</t>
  </si>
  <si>
    <t>Howl</t>
  </si>
  <si>
    <t>Puff</t>
  </si>
  <si>
    <t>Dragon Pet</t>
  </si>
  <si>
    <t>Fire Breath</t>
  </si>
  <si>
    <t>Rawr</t>
  </si>
  <si>
    <t>Lion Pet</t>
  </si>
  <si>
    <t>Roar</t>
  </si>
  <si>
    <t>Close Owners roll +1 die on attacks.</t>
  </si>
  <si>
    <t>Close Owners roll +2 dice on attacks.</t>
  </si>
  <si>
    <t>Close Owners roll +3 dice on attacks.</t>
  </si>
  <si>
    <t>Sheldon</t>
  </si>
  <si>
    <t>Turtle Pet</t>
  </si>
  <si>
    <t>Close Owners get: +2 Defense</t>
  </si>
  <si>
    <t>Close Owners get: +3 Defense</t>
  </si>
  <si>
    <t>Tallon</t>
  </si>
  <si>
    <t>Dino Pet</t>
  </si>
  <si>
    <t>Rake</t>
  </si>
  <si>
    <t>When an Owner inflicts any Wounds to an Enemy Close to Talon, add an extra Wound.</t>
  </si>
  <si>
    <t>When an Owner inflicts any Wounds to an Enemy Close to Talon, add 2 extra Wounds.</t>
  </si>
  <si>
    <t>Tickles</t>
  </si>
  <si>
    <t>Ferret Pet</t>
  </si>
  <si>
    <t>Skin Crawling</t>
  </si>
  <si>
    <t>Close Enemies have -2 Rerolls against Owners.</t>
  </si>
  <si>
    <t>Close Owners get: +2 Rerolls.</t>
  </si>
  <si>
    <t>Close Owners get: +3 Rerolls.</t>
  </si>
  <si>
    <t>Tickle</t>
  </si>
  <si>
    <t>Close Enemies have -3 Rerolls against Owners.</t>
  </si>
  <si>
    <t>Samson</t>
  </si>
  <si>
    <t>Baron</t>
  </si>
  <si>
    <t>Game Night Kit</t>
  </si>
  <si>
    <t>Mighty Presence</t>
  </si>
  <si>
    <t>Rider gets +2 dice for this Attack.</t>
  </si>
  <si>
    <t>Headbutt</t>
  </si>
  <si>
    <t>Perform a 3 dice Melee Attack against any Close Enemy.</t>
  </si>
  <si>
    <t>Inferno KS</t>
  </si>
  <si>
    <t>Pet Pack 1</t>
  </si>
  <si>
    <t>Pet Pack 2</t>
  </si>
  <si>
    <t>Jamon</t>
  </si>
  <si>
    <t>Cookie</t>
  </si>
  <si>
    <t>Neville</t>
  </si>
  <si>
    <t>Joey</t>
  </si>
  <si>
    <t>Dawn</t>
  </si>
  <si>
    <t>Demoness</t>
  </si>
  <si>
    <t>Beguile</t>
  </si>
  <si>
    <t>The target Hero may replace 1 Wound he would take for 1 Damnation.</t>
  </si>
  <si>
    <t>Cerberus</t>
  </si>
  <si>
    <t>Major Minion</t>
  </si>
  <si>
    <t>Mauling</t>
  </si>
  <si>
    <t>May perform up to 3 separate consecutive attacks (at least the first must be against the primary target, otherwise he makes no attacks).</t>
  </si>
  <si>
    <t>Demon Pitcher</t>
  </si>
  <si>
    <t>Hellfire</t>
  </si>
  <si>
    <t>If his attack rolls any Hits, the target gets 2 Damnation.</t>
  </si>
  <si>
    <t>Bellya'al</t>
  </si>
  <si>
    <t>Minor Villain</t>
  </si>
  <si>
    <t>Jelly-Belly</t>
  </si>
  <si>
    <t>Ignores 1 Hit per Damnation on the attacker.</t>
  </si>
  <si>
    <t>The Judge</t>
  </si>
  <si>
    <t>Condemnation</t>
  </si>
  <si>
    <t>Rolls +1 die on all rolls per Damnation on the active Hero. Shoves Characters when moving.</t>
  </si>
  <si>
    <t>The Underlord</t>
  </si>
  <si>
    <t>Evil Eye</t>
  </si>
  <si>
    <t>When attacking, each Crit rolled also inflicts a Wound on that Guild's other Heroes.</t>
  </si>
  <si>
    <t>Benjamin</t>
  </si>
  <si>
    <t>Ravager</t>
  </si>
  <si>
    <t>If his attack deals any Wounds, the target gets 2 Damnation or draws 2 Death Curses (keeping only the Death Curse with the highest value, including any previous Death Curses).</t>
  </si>
  <si>
    <t>Angel Eyes</t>
  </si>
  <si>
    <t>Song of Hate</t>
  </si>
  <si>
    <t>If her attack rolls any Crit, exhaust all of the target's cards, unless they take 2 Damnation.</t>
  </si>
  <si>
    <t>Leah</t>
  </si>
  <si>
    <t>Aftershock</t>
  </si>
  <si>
    <t>After she attacks, all Close Heroes take 1 Wound each.</t>
  </si>
  <si>
    <t>The Wanderer</t>
  </si>
  <si>
    <t>Aura of Despair</t>
  </si>
  <si>
    <t>After he attacks, the target and all Heroes Close to it much each exhaust 1 attack card (those that can't take 1 Death token).</t>
  </si>
  <si>
    <t>Justicar</t>
  </si>
  <si>
    <t>Last Command</t>
  </si>
  <si>
    <t>Before or after his attack, he may Move the target Hero up to 3 Spaces (this Move doesn't trigger Guard Reaction).</t>
  </si>
  <si>
    <t>Harpy</t>
  </si>
  <si>
    <t>Nimble</t>
  </si>
  <si>
    <t>Rolls +1 Defense die per Damnation on the attacker.</t>
  </si>
  <si>
    <t>When attacking, each Crit rolled also inflicts a Wound on that Guild's other Heroes. Rolls +1 die on all rolls per Damnation on the active Hero.</t>
  </si>
  <si>
    <t>Straight to the Heart</t>
  </si>
  <si>
    <t>On a Crit, target cannot roll Defense.</t>
  </si>
  <si>
    <t>Korilla</t>
  </si>
  <si>
    <t>Hedgehornet</t>
  </si>
  <si>
    <t>Outta My Way</t>
  </si>
  <si>
    <t>On a Crit, move target up to 3 Spaces (this does not trigger Guard Reactions).</t>
  </si>
  <si>
    <t>Adorable</t>
  </si>
  <si>
    <t>Enemies must take 1 Wound to attack it.</t>
  </si>
  <si>
    <t>Vexia</t>
  </si>
  <si>
    <t>Catch 'Em All</t>
  </si>
  <si>
    <t>Hellcat</t>
  </si>
  <si>
    <t>Nine Lives</t>
  </si>
  <si>
    <t>Roll to respawn it at the end of the turn in which it was killed.</t>
  </si>
  <si>
    <t>Demon Captain</t>
  </si>
  <si>
    <t>Damned If You Don't</t>
  </si>
  <si>
    <t>When attacking, each Crit deals 1 extra Hit per Damnation on the target Hero.</t>
  </si>
  <si>
    <t>Demoness Captain</t>
  </si>
  <si>
    <t>Damned If You Do</t>
  </si>
  <si>
    <t>If her attack deals any Wounds, if also deals the same amount of Damnation.</t>
  </si>
  <si>
    <t>Hellen</t>
  </si>
  <si>
    <t>Eternal Daze</t>
  </si>
  <si>
    <t>If her attack rolls any Crit, the Target is Dazed for the rest of the Scenario.</t>
  </si>
  <si>
    <t>Kragor</t>
  </si>
  <si>
    <t>Power of the Skull</t>
  </si>
  <si>
    <t>Gets +1 Reroll for all rolls per Death token on the Guild attacking him or being attacked by him.</t>
  </si>
  <si>
    <t>Ignos</t>
  </si>
  <si>
    <t>I Lava You</t>
  </si>
  <si>
    <t>Targets all Close Heroes. Ignores 2 Saves on targets' Defense rolls. Shoves Characters when moving, dealing 1 Wound to each Shoved Character.</t>
  </si>
  <si>
    <t>The Fallen Angel</t>
  </si>
  <si>
    <t>Bloodlust</t>
  </si>
  <si>
    <t>As long as he has any Wounds, he rolls +2 dice on all rolls.</t>
  </si>
  <si>
    <t>Subtitle</t>
  </si>
  <si>
    <t>Havok</t>
  </si>
  <si>
    <t>Young - Initial</t>
  </si>
  <si>
    <t>Chaos Breath</t>
  </si>
  <si>
    <t>Ability2</t>
  </si>
  <si>
    <t>Dragon Might</t>
  </si>
  <si>
    <t>Other</t>
  </si>
  <si>
    <t>Only Crit on Attack dice score a Hit against him. Shoves characters when moving, dealing 1 Wound to each Shoved Character.</t>
  </si>
  <si>
    <t>Young - Final</t>
  </si>
  <si>
    <t>Elder - Initial</t>
  </si>
  <si>
    <t>Elder - Final</t>
  </si>
  <si>
    <t>Icewyng</t>
  </si>
  <si>
    <t>Frost Breath</t>
  </si>
  <si>
    <t>Rotwailer</t>
  </si>
  <si>
    <t>Also targets all Heroes Close to the target. For each Crit, all targets take one Poison token. Rolls an extra die per Damnation on the target.</t>
  </si>
  <si>
    <t>Also targets all Heroes Close to the target. For each Crit, all targets place one Frost token on one of their Upgrade Cards. Rolls an extra die per Damnation on the target.</t>
  </si>
  <si>
    <t>Also targets all Heroes Close to the target. For each Crit, all targets take one Chaos token. Rolls an extra die per Damnation on the target.</t>
  </si>
  <si>
    <t>Mog'Dor</t>
  </si>
  <si>
    <t>Also targets all Heroes Close to the target. For each Crit, all targets take one Fire token. Rolls an extra die per Damnation on the target.</t>
  </si>
  <si>
    <t>Poison Breath</t>
  </si>
  <si>
    <t>Ground the Dragon</t>
  </si>
  <si>
    <t>Hurt the Dragon 4 times.</t>
  </si>
  <si>
    <t>Kill Ignos</t>
  </si>
  <si>
    <t>Kill Ignos.</t>
  </si>
  <si>
    <t>Stop the Eruption</t>
  </si>
  <si>
    <t>Have 2 Heroes at the same time at the designated area of the map.</t>
  </si>
  <si>
    <t>Get the Lava Lamps</t>
  </si>
  <si>
    <t>Find the Key</t>
  </si>
  <si>
    <t>Find the Quest token.</t>
  </si>
  <si>
    <t>Rescue the Pets</t>
  </si>
  <si>
    <t>Create a trail of food between a cage and the fountain.</t>
  </si>
  <si>
    <t>Defeat the Owlbunny</t>
  </si>
  <si>
    <t>Kill the Owlbunny.</t>
  </si>
  <si>
    <t>Distribute the Medicine</t>
  </si>
  <si>
    <t>Take one of the Quest tokens and bring it to one of the indicated Spaces.</t>
  </si>
  <si>
    <t>Kill Vexia</t>
  </si>
  <si>
    <t>Kill Vexia.</t>
  </si>
  <si>
    <t>Kill 3 Monsters</t>
  </si>
  <si>
    <t>Kill any 3 Monsters.</t>
  </si>
  <si>
    <t>Capture a Wild Pet</t>
  </si>
  <si>
    <t>Capture any Wild Pet.</t>
  </si>
  <si>
    <t>Kill Korilla</t>
  </si>
  <si>
    <t>Kill a Korilla.</t>
  </si>
  <si>
    <t>Find Owlbunny</t>
  </si>
  <si>
    <t>Collect the Quest token.</t>
  </si>
  <si>
    <t>Enter the Forest Road</t>
  </si>
  <si>
    <t>End a Hero activation in one of the indicated Spaces, carrying a Quest token and with one of your Pets.</t>
  </si>
  <si>
    <t>Fall of Arcadia</t>
  </si>
  <si>
    <t>Kill the Justicar</t>
  </si>
  <si>
    <t>Kill the Justicar Angel.</t>
  </si>
  <si>
    <t>Retrieve an Ancient Tome</t>
  </si>
  <si>
    <t>Escort 1 Quest token to a Portal.</t>
  </si>
  <si>
    <t>Bone to Pick</t>
  </si>
  <si>
    <t>Collect 2 Death tokens and get to the designated Space.</t>
  </si>
  <si>
    <t>Consecrate the Grounds</t>
  </si>
  <si>
    <t>Escort your Guild's Quest token to one of the indicated Spaces.</t>
  </si>
  <si>
    <t>Secure the Golden Amulet</t>
  </si>
  <si>
    <t>Take your Guild's Quest token to the designated Space.</t>
  </si>
  <si>
    <t>Free the Pet Masters</t>
  </si>
  <si>
    <t>Escort 1 Quest token to any Outdoor Space.</t>
  </si>
  <si>
    <t>Investigate the Sisters</t>
  </si>
  <si>
    <t>Place 1 Guild token on 3 out of the 4 indicated Spaces.</t>
  </si>
  <si>
    <t>Talk to an Angel</t>
  </si>
  <si>
    <t>Find the Yellow Quest token.</t>
  </si>
  <si>
    <t>Find the Stolen Artifacts</t>
  </si>
  <si>
    <t>Stop the Fire</t>
  </si>
  <si>
    <t>Take 1 Quest token to the Lava Fountain tile.</t>
  </si>
  <si>
    <t>Save the Villagers</t>
  </si>
  <si>
    <t>Collect 1 Quest token.</t>
  </si>
  <si>
    <t>Kill Serpent Guild Hero</t>
  </si>
  <si>
    <t>Kill one Hero from opposing Serpent Guild.</t>
  </si>
  <si>
    <t>Kill Crow Guild Hero</t>
  </si>
  <si>
    <t>Kill one Hero from opposing Crow Guild.</t>
  </si>
  <si>
    <t>Kill Tiger Guild Hero</t>
  </si>
  <si>
    <t>Kill one Hero from opposing Tiger Guild.</t>
  </si>
  <si>
    <t>Kill Shark Guild Hero</t>
  </si>
  <si>
    <t>Kill one Hero from opposing Shark Guild.</t>
  </si>
  <si>
    <t>Kill Bellya'al</t>
  </si>
  <si>
    <t>Kill Bellya'al.</t>
  </si>
  <si>
    <t>Kill Demon Pitcher</t>
  </si>
  <si>
    <t>Kill a Demon Pitcher.</t>
  </si>
  <si>
    <t>Kill The Judge</t>
  </si>
  <si>
    <t>Kill the Judge.</t>
  </si>
  <si>
    <t>Kill The Underlord</t>
  </si>
  <si>
    <t>Kill the Underlord.</t>
  </si>
  <si>
    <t>Kill Cerberus</t>
  </si>
  <si>
    <t>Kill a Cerberus.</t>
  </si>
  <si>
    <t>Recover the Amulet</t>
  </si>
  <si>
    <t>End a Hero's Activation with no Damnation at a Quest token.</t>
  </si>
  <si>
    <t>Retrieve a Soul</t>
  </si>
  <si>
    <t>Escort 1 Quest token to your Starting Area.</t>
  </si>
  <si>
    <t>Steal a Mandate</t>
  </si>
  <si>
    <t>Collect a Quest token.</t>
  </si>
  <si>
    <t>Eat the Cake</t>
  </si>
  <si>
    <t>End activation at Grey or Teal Quest token.</t>
  </si>
  <si>
    <t>Stop the Party</t>
  </si>
  <si>
    <t>End activation 1 time at each different Quest token.</t>
  </si>
  <si>
    <t>Purify the Fountain</t>
  </si>
  <si>
    <t>Escort 1 Quest token to a blue Portal.</t>
  </si>
  <si>
    <t>Save the Angel</t>
  </si>
  <si>
    <t>Save the Angel.</t>
  </si>
  <si>
    <t>Find the Lost Keys</t>
  </si>
  <si>
    <t>Collect one Quest token.</t>
  </si>
  <si>
    <t>Rescue the Hero</t>
  </si>
  <si>
    <t>Collect the Quest token of your Guild color.</t>
  </si>
  <si>
    <t>Destroy the Tickets</t>
  </si>
  <si>
    <t>Enter the Gates</t>
  </si>
  <si>
    <t>Have your 3 Heroes at the designated area of the map at the same time.</t>
  </si>
  <si>
    <t>Qty</t>
  </si>
  <si>
    <t>Cool Your Head</t>
  </si>
  <si>
    <t>Ice Box</t>
  </si>
  <si>
    <t>Place one Ice Box in the Space where the last activated living Hero is.</t>
  </si>
  <si>
    <t>Cool Your Heads</t>
  </si>
  <si>
    <t>Ice Boxes</t>
  </si>
  <si>
    <t>Place one Ice Box in every Space Close to the Dragon that has at least one Hero.</t>
  </si>
  <si>
    <t>Dragon Sleeps Tonight</t>
  </si>
  <si>
    <t>Respite</t>
  </si>
  <si>
    <t>Nothing happens.</t>
  </si>
  <si>
    <t>Dragon's Den</t>
  </si>
  <si>
    <t>Lick Wounds</t>
  </si>
  <si>
    <t>The Dragon is placed on the indicated area of the map and Heals 2 Wounds.</t>
  </si>
  <si>
    <t>Frost Swoop</t>
  </si>
  <si>
    <t>Dragon Charges</t>
  </si>
  <si>
    <t>The Dragon is placed on the indicated area of the map and attacks the closest Hero in Line of Sight. (Each card has a different location)</t>
  </si>
  <si>
    <t>Let It Snow</t>
  </si>
  <si>
    <t>Building Attack</t>
  </si>
  <si>
    <t>Draw a random Guild token. The Dragon is placed in the indicated area next to the corresponding Guild's Quest token and damages that building.</t>
  </si>
  <si>
    <t>Major Minion Spawn</t>
  </si>
  <si>
    <t>Spawn Minions</t>
  </si>
  <si>
    <t>Spawn up to 2 Spear Beastman or Demon Pitcher, if they are off the board. Activate any of them that are on the board, performing their movement and attack against their respective closest Heroes.</t>
  </si>
  <si>
    <t>Spawn up to 2 Hammer Beastman or Cerberus, if they are off the board. Activate any of them that are on the board, performing their movement and attack against their respective closest Heroes.</t>
  </si>
  <si>
    <t>Minor Minion Spawn</t>
  </si>
  <si>
    <t>Spawn 4 Orc Marauder or Demoness.</t>
  </si>
  <si>
    <t>Spawn 4 Goblin Archer or Harpy.</t>
  </si>
  <si>
    <t>Winds of Change</t>
  </si>
  <si>
    <t>Reshuffle</t>
  </si>
  <si>
    <t>Shuffle the Dragon Turn deck with the discard pile.</t>
  </si>
  <si>
    <t>Poison Swoop</t>
  </si>
  <si>
    <t>Sick Burn</t>
  </si>
  <si>
    <t>Dragon Attack</t>
  </si>
  <si>
    <t>The Dragon attacks the closest Hero in Line of Sight.</t>
  </si>
  <si>
    <t>Silent But Deadly (2 Eggs)</t>
  </si>
  <si>
    <t>Poison Spreads</t>
  </si>
  <si>
    <t>Trigger all Poison Eggs on the board. Then, place a Poison Egg in 2 of the Spaces indicated on the map with no Poison Eggs in them.</t>
  </si>
  <si>
    <t>Silent But Deadly (1 Egg)</t>
  </si>
  <si>
    <t>Trigger all Poison Eggs on the board. Then, place a Poison Egg in one of the Spaces indicated on the map with no Poison Egg in it.</t>
  </si>
  <si>
    <t>Silent But Deadly (No Egg)</t>
  </si>
  <si>
    <t>Trigger all Poison Eggs on the board.</t>
  </si>
  <si>
    <t>Chaos Swoop</t>
  </si>
  <si>
    <t>Chaos Theory</t>
  </si>
  <si>
    <t>Portal Chaos</t>
  </si>
  <si>
    <t>All Heroes within Line of Sight of the Dragon suffer the effect of a Chaos Portal.</t>
  </si>
  <si>
    <t>Chaotic Attack</t>
  </si>
  <si>
    <t>The Dragon attacks the closest Hero, rolling +1 die if there is a Chaos Portal on its tile.</t>
  </si>
  <si>
    <t>Urban Chaos</t>
  </si>
  <si>
    <t>Spread Chaos Portals</t>
  </si>
  <si>
    <t>The Dragon is placed in the indicated area of the map and places one Chaos Portal on the central Spaces of each of the 2 tiles adjacent to his tile. (Each card has a different location)</t>
  </si>
  <si>
    <t>The Dragon is placed in the indicated area of the map and places one Chaos Portal on the central Space of his tile. If the Dragon is placed in the Chaos Island, it heals 1 Wound instead of placing a Portal. (Each card has a different location)</t>
  </si>
  <si>
    <t>Fire Swoop</t>
  </si>
  <si>
    <t>Light My Fire</t>
  </si>
  <si>
    <t>Fire Bombs Ignite</t>
  </si>
  <si>
    <t>Tail Swing</t>
  </si>
  <si>
    <t>Multi-Attack</t>
  </si>
  <si>
    <t>The Dragon is placed on the indicated area of the map and deals 2 Wounds to all Close Heroes. (Each card has a different location)</t>
  </si>
  <si>
    <t>The Heat Is On!</t>
  </si>
  <si>
    <t>All Fire Bombs Ignite</t>
  </si>
  <si>
    <t>Place 1 Fire Token on each of the Fire Bombs.</t>
  </si>
  <si>
    <t>Healing Hands</t>
  </si>
  <si>
    <t>For each Wound he deals, you may heal one Wound from an Ally.</t>
  </si>
  <si>
    <t>Celestial Song</t>
  </si>
  <si>
    <t>For each Crit she rolls on an attack, you may unexhaust one card from an Ally.</t>
  </si>
  <si>
    <t>Commander</t>
  </si>
  <si>
    <t>At any point during her activation, Close Allies may Move 1 Space. (This Move doesn't trigger Guard Reaction. Maximum 1 Move per Ally per turn.)</t>
  </si>
  <si>
    <t>Inspiration</t>
  </si>
  <si>
    <t>Any Allied Hero in Line of Sight of Benjamin gets +1 die to all rolls.</t>
  </si>
  <si>
    <t>Wings of Fire</t>
  </si>
  <si>
    <t>He has +1 Movement Point to use every activation.</t>
  </si>
  <si>
    <t>Redeemer</t>
  </si>
  <si>
    <t>For each Wound he deals, you may remove 1 Death Token or 1 Damnation from an Ally.</t>
  </si>
  <si>
    <t>Dragon Power</t>
  </si>
  <si>
    <t>+1 Movement Point.</t>
  </si>
  <si>
    <t>FR-DS-03</t>
  </si>
  <si>
    <t>Dragon Sneeze</t>
  </si>
  <si>
    <t>You may place an Ice Box token on any Outdoor Space of your choice.</t>
  </si>
  <si>
    <t>FR-DS-02</t>
  </si>
  <si>
    <t>FR-DS-01</t>
  </si>
  <si>
    <t>FR-DS-04</t>
  </si>
  <si>
    <t>Dragon Unleashed</t>
  </si>
  <si>
    <t>Ground: Dragon performs its movement and/or attack against any Enemy Hero. Flying: Dragon performs its attack against any Outdoor Enemy Hero.</t>
  </si>
  <si>
    <t>Icy Mist</t>
  </si>
  <si>
    <t>All Outdoor Enemy Heroes must place a Frost token on one of their Upgrade cards.</t>
  </si>
  <si>
    <t>Minion on the Prowl</t>
  </si>
  <si>
    <t>Activate a Minion of any type, performing its movement and/or attack against any non-Monster target.</t>
  </si>
  <si>
    <t>Dragonstone</t>
  </si>
  <si>
    <t>CH-DS-03</t>
  </si>
  <si>
    <t>CH-DS-02</t>
  </si>
  <si>
    <t>CH-DS-01</t>
  </si>
  <si>
    <t>CH-DS-04</t>
  </si>
  <si>
    <t>Chaos Spreads</t>
  </si>
  <si>
    <t>You may place 2 Chaos Portals, each in a different Space on the board.</t>
  </si>
  <si>
    <t>It's Chaos Outside</t>
  </si>
  <si>
    <t>All Outdoor enemy Heroes take 1 Chaos token.</t>
  </si>
  <si>
    <t>+2 Movement Points.</t>
  </si>
  <si>
    <t>PO-DS-03</t>
  </si>
  <si>
    <t>PO-DS-02</t>
  </si>
  <si>
    <t>PO-DS-01</t>
  </si>
  <si>
    <t>PO-DS-04</t>
  </si>
  <si>
    <t>Bad Eggs</t>
  </si>
  <si>
    <t>You may place 2 new Poison Eggs in any 2 Outdoor Spaces. Then, you may Trigger any Poison Eggs on the board.</t>
  </si>
  <si>
    <t>Noxious Fog</t>
  </si>
  <si>
    <t>All Outdoor Enemy Heroes take 1 Poison token.</t>
  </si>
  <si>
    <t>FI-DS-03</t>
  </si>
  <si>
    <t>FI-DS-02</t>
  </si>
  <si>
    <t>FI-DS-01</t>
  </si>
  <si>
    <t>FI-DS-04</t>
  </si>
  <si>
    <t>Great Balls of Fire</t>
  </si>
  <si>
    <t>You may place a total of 2 Fire tokens anywhere on the board.</t>
  </si>
  <si>
    <t>Flame Storm</t>
  </si>
  <si>
    <t>All Outdoor Enemy Heroes take one Fire token.</t>
  </si>
  <si>
    <t>BS-01</t>
  </si>
  <si>
    <t>BS-02</t>
  </si>
  <si>
    <t>BS-03</t>
  </si>
  <si>
    <t>BS-04</t>
  </si>
  <si>
    <t>BS-05</t>
  </si>
  <si>
    <t>BS-06</t>
  </si>
  <si>
    <t>BS-07</t>
  </si>
  <si>
    <t>BS-08</t>
  </si>
  <si>
    <t>BS-09</t>
  </si>
  <si>
    <t>BS-10</t>
  </si>
  <si>
    <t>BS-11</t>
  </si>
  <si>
    <t>BS-12</t>
  </si>
  <si>
    <t>Activate a Minor Minion, performing its movement and/or attack against any Hero. Rolls +1 die per Damnation on the targeted Hero.</t>
  </si>
  <si>
    <t>Activate a Minion of any type, performing its movement and/or attack against any Hero. Rolls +1 die per Damnation on the targeted Hero.</t>
  </si>
  <si>
    <t>Villain on the Prowl</t>
  </si>
  <si>
    <t>Activate a Minor Villain or a Minion of any type, performing its movement and/or attack against any Hero. Rolls +1 die per Damnation on the targeted Hero.</t>
  </si>
  <si>
    <t>Activate a Villain or Minion of any type, performing its movement and/or attack against any Hero. Rolls +2 die per Damnation on the targeted Hero.</t>
  </si>
  <si>
    <t>Guilty Conscience</t>
  </si>
  <si>
    <t>All Enemy Heroes that have Damnation must exhaust one of their attack cards or take 1 Wound.</t>
  </si>
  <si>
    <t>Hidden Stash</t>
  </si>
  <si>
    <t>Draw a card from the last Upgrade Deck that was accessed and give it to any of your Heroes.</t>
  </si>
  <si>
    <t>Touched by an Angel</t>
  </si>
  <si>
    <t>All Heroes in your Guild may heal 1 Wound and may remove 1 Damnation from themselves.</t>
  </si>
  <si>
    <t>Reboot</t>
  </si>
  <si>
    <t>The Enemy Hero on the board with the most Damnation is placed back on their Starting Area (in case of a tie, you choose the Hero).</t>
  </si>
  <si>
    <t>Fatal Collapse</t>
  </si>
  <si>
    <t>The Enemy Hero(es) on the board with the most Damnation exhausts all of their cards.</t>
  </si>
  <si>
    <t>Unforgivable Curse</t>
  </si>
  <si>
    <t>The Enemy Hero(es) on the board with the most Damnation immediately draws an extra Death Curse (keep the Death Curse card with the highest value).</t>
  </si>
  <si>
    <t>Scapegoat</t>
  </si>
  <si>
    <t>One Hero from each Enemy Guild takes 1 Damnation.</t>
  </si>
  <si>
    <t>Reckoning</t>
  </si>
  <si>
    <t>The Enemy Hero(es) on the board with the most Damnation takes 2 Wounds.</t>
  </si>
  <si>
    <t>Your Sword and Exotic attacks roll +1 die if the target has any Damnation.</t>
  </si>
  <si>
    <t>Each Wound dealt by the boosted Melee Attack heals 2 Wounds from this Hero.</t>
  </si>
  <si>
    <t>+1 die to one non-Magic Ranged attack card. Do not exhaust the boosted card.</t>
  </si>
  <si>
    <t>+2 dice to one non-Magic Ranged attack card. Do not exhaust the boosted card.</t>
  </si>
  <si>
    <t>Your Sword and Exotic attacks roll +2 dice if the target has any Damnation.</t>
  </si>
  <si>
    <t>Crusader Strike II</t>
  </si>
  <si>
    <t>INF4-18</t>
  </si>
  <si>
    <t>Before you attack a Hero, the target must choose: take 3 Damnation or double the Wounds he suffers.</t>
  </si>
  <si>
    <t>Limit 1 armor per Hero. +2 Defense dice for each Gear this Hero has equipped.</t>
  </si>
  <si>
    <t>INFD-00</t>
  </si>
  <si>
    <t>INFD-01</t>
  </si>
  <si>
    <t>INFD-02</t>
  </si>
  <si>
    <t>INFD-03</t>
  </si>
  <si>
    <t>INFD-04</t>
  </si>
  <si>
    <t>INFD-05</t>
  </si>
  <si>
    <t>INFD-06</t>
  </si>
  <si>
    <t>INFD-07</t>
  </si>
  <si>
    <t>No Curse</t>
  </si>
  <si>
    <t>Nothing happens, discard this card.</t>
  </si>
  <si>
    <t>Value</t>
  </si>
  <si>
    <t>Damned</t>
  </si>
  <si>
    <t>1 Damnation</t>
  </si>
  <si>
    <t>System Shock</t>
  </si>
  <si>
    <t>Occupies a card slot. No other card effect.</t>
  </si>
  <si>
    <t>Sinful</t>
  </si>
  <si>
    <t>Each time this Hero gains any number of Damnation, he gets 1 additional Damnation.</t>
  </si>
  <si>
    <t>Amnesia</t>
  </si>
  <si>
    <t>Place on Hero card. This Hero loses his Natural Ability.</t>
  </si>
  <si>
    <t>Occupies a card slot. -1 Life</t>
  </si>
  <si>
    <t>Severe Nosebleed</t>
  </si>
  <si>
    <t>Paranoia</t>
  </si>
  <si>
    <t>Eternally Damned</t>
  </si>
  <si>
    <t>Occupies a Card slot. 3 Damnation</t>
  </si>
  <si>
    <t>Jack-Jack</t>
  </si>
  <si>
    <t>Trolling</t>
  </si>
  <si>
    <t>If his attack rolls any Hits, you may switch one of the target's Upgrade cards with another from their Guild (before rolling Defense).</t>
  </si>
  <si>
    <t>Jink</t>
  </si>
  <si>
    <t>If her Magic Attack rolls any Crit against a Hero, the target draws a Death Curse (keep the card with the highest value).</t>
  </si>
  <si>
    <t>Prince Grenouille</t>
  </si>
  <si>
    <t>Leapfrog</t>
  </si>
  <si>
    <t>Exhaust his Hero card to move him up to 2 Spaces, ignoring blocking Enemies and Guard Reactions.</t>
  </si>
  <si>
    <t>Thornwood</t>
  </si>
  <si>
    <t>Eternal Sap</t>
  </si>
  <si>
    <t>Heals one Would for each Crit on his Defense roll before applying any Wounds from the current attack.</t>
  </si>
  <si>
    <t>Lang Lang</t>
  </si>
  <si>
    <t>Bamboo Strike</t>
  </si>
  <si>
    <t>Blossom</t>
  </si>
  <si>
    <t>Headshot</t>
  </si>
  <si>
    <t>When attacking with a Bow or Thrown Weapon attack card, the target does not roll Defense dice.</t>
  </si>
  <si>
    <t>Neffar</t>
  </si>
  <si>
    <t>Go for the Eyes!</t>
  </si>
  <si>
    <t>Luke the Lucky</t>
  </si>
  <si>
    <t>Beginner's Luck</t>
  </si>
  <si>
    <t>+2 Rerolls</t>
  </si>
  <si>
    <t>Makumba</t>
  </si>
  <si>
    <t>Spellbind</t>
  </si>
  <si>
    <t>If her Magic Attack rolls any Crit, she may move one Hero in Line of Sight 1 Space.</t>
  </si>
  <si>
    <t>Crazy Pet Lady</t>
  </si>
  <si>
    <t>She gains +2 Life and +2 Rerolls for each Allied Pet Close to her.</t>
  </si>
  <si>
    <t>Raven</t>
  </si>
  <si>
    <t>Last Man Standing</t>
  </si>
  <si>
    <t>He gets a +2 dice bonus to all rolls per Dead Ally.</t>
  </si>
  <si>
    <t>Tao</t>
  </si>
  <si>
    <t>Iron Fist</t>
  </si>
  <si>
    <t>Instead of using an Attack card, may exhaust his Hero card to perform a Melee attack, rolling as many dice as he has Life left.</t>
  </si>
  <si>
    <t>Tigris</t>
  </si>
  <si>
    <t>Phalanx</t>
  </si>
  <si>
    <t>Rolls +1 die per Close Ally on non-Magic Melee attacks and Defense rolls.</t>
  </si>
  <si>
    <t>Valerie</t>
  </si>
  <si>
    <t>Hammer of Justice</t>
  </si>
  <si>
    <t>If her attack kills its target, you may heal one Wound from her and her Allies</t>
  </si>
  <si>
    <t>Cassius</t>
  </si>
  <si>
    <t>Foe on a Stick</t>
  </si>
  <si>
    <t>When attacking with a Lance or Exotic attack card, the target does not roll Defense dice.</t>
  </si>
  <si>
    <t>Valma</t>
  </si>
  <si>
    <t>Blood Rage</t>
  </si>
  <si>
    <t>When attacking with a non-Magic Melee Attack card, she may take a Wound to roll +2 dice.</t>
  </si>
  <si>
    <t>Izzy</t>
  </si>
  <si>
    <t>Monster Brew</t>
  </si>
  <si>
    <t>When he kills a Monster, place its figure on his Hero card. He may use it like a Healing or Refreshing Potion (returning it to the box).</t>
  </si>
  <si>
    <t>Hoshi</t>
  </si>
  <si>
    <t>Twin Blades</t>
  </si>
  <si>
    <t>May exhaust each Sword Attack card twice.</t>
  </si>
  <si>
    <t>Papa Ruk</t>
  </si>
  <si>
    <t>Bad Juju</t>
  </si>
  <si>
    <t>Exhaust his Hero card to place his Guild token on an Enemy Hero in LOS. That Hero rolls -1 die per token on all rolls. Tokens are removed when Papa Ruk dies.</t>
  </si>
  <si>
    <t>Tyrek</t>
  </si>
  <si>
    <t>Hero's Bane</t>
  </si>
  <si>
    <t>Rolls +1 die on Attack and Defense against Heroes.</t>
  </si>
  <si>
    <t>Jaimie</t>
  </si>
  <si>
    <t>Shield Bash</t>
  </si>
  <si>
    <t>May exhaust her Hero card to Move a Close Character up to 2 Spaces away (this Move doesn't trigger Guard Reaction).</t>
  </si>
  <si>
    <t>Stump</t>
  </si>
  <si>
    <t>Hold Fast</t>
  </si>
  <si>
    <t>After rolling Defense, may exhaust his Hero card to roll +3 Defense dice.</t>
  </si>
  <si>
    <t>Diana</t>
  </si>
  <si>
    <t>Volley</t>
  </si>
  <si>
    <t>When attacking a Close Enemy with a Bow or Thrown Weapon, may target one extra Close enemy per Crit rolled.</t>
  </si>
  <si>
    <t>Lotus</t>
  </si>
  <si>
    <t>Pacifying Song</t>
  </si>
  <si>
    <t>May exhaust her Hero card to cancel all Guard or Payback Reactions she triggers on this turn.</t>
  </si>
  <si>
    <t>Zsa Zsa</t>
  </si>
  <si>
    <t>Bastet's Curse</t>
  </si>
  <si>
    <t>If her Magic Attack deals any Wounds, place her Guild token on the target's Hero card, who loses their Natural Ability (Resting removes this token).</t>
  </si>
  <si>
    <t>Trandir</t>
  </si>
  <si>
    <t>Collateral Magic</t>
  </si>
  <si>
    <t>When using a Magic attack, may exhaust his Hero card to target an additional Enemy Close to the target.</t>
  </si>
  <si>
    <t>Luna</t>
  </si>
  <si>
    <t>Mystic Path</t>
  </si>
  <si>
    <t>If her Defense rolls any Crit, she may teleport to a Space Close to any Character in Line of Sight.</t>
  </si>
  <si>
    <t>Sybbyl</t>
  </si>
  <si>
    <t>Dark Magic</t>
  </si>
  <si>
    <t>When using a Magic attack, she may take 1 Death Curse to roll +1 die (keep the Death Curse card with the highest value).</t>
  </si>
  <si>
    <t>Anvil</t>
  </si>
  <si>
    <t>Weaponsmith</t>
  </si>
  <si>
    <t>He may place the coins he gains from killing Enemies on non-Magic Attack cards of his Guild. These cards roll +1 die. Limit 1 coin per card.</t>
  </si>
  <si>
    <t>Master Pim</t>
  </si>
  <si>
    <t>Umbrella Protection</t>
  </si>
  <si>
    <t>Monsters roll -1 die when attacking him.</t>
  </si>
  <si>
    <t>Mercury</t>
  </si>
  <si>
    <t>Fly By Night</t>
  </si>
  <si>
    <t>May exhaust her Hero card to gain 2 extra Movement Points for use this turn.</t>
  </si>
  <si>
    <t>Lord Tyron</t>
  </si>
  <si>
    <t>Connected Strikes</t>
  </si>
  <si>
    <t>When attacking with a non-Magic Melee Attack card, he rolls +1 die for each other exhausted Attack card he has.</t>
  </si>
  <si>
    <t>Raffi</t>
  </si>
  <si>
    <t>Ambush</t>
  </si>
  <si>
    <t>Gains +2 Rerolls when attacking a flanked target (a target with at least one other Enemy Close to it).</t>
  </si>
  <si>
    <t>Natasha</t>
  </si>
  <si>
    <t>Merciless</t>
  </si>
  <si>
    <t>When attacking a flanked target (a target with at least one different Enemy Close to it) the attack deals 1 extra Wound.</t>
  </si>
  <si>
    <t>Quan</t>
  </si>
  <si>
    <t>Inner Strength</t>
  </si>
  <si>
    <t>May exhaust his Hero card to unexhaust two of his Upgrade cards.</t>
  </si>
  <si>
    <t>Nina</t>
  </si>
  <si>
    <t>Bullseye</t>
  </si>
  <si>
    <t>If she doesn't use all her Movement Points this turn, she rolls +1 die on a Bow or Thrown Weapon Attack card.</t>
  </si>
  <si>
    <t>Johnny</t>
  </si>
  <si>
    <t>Blinding Shield</t>
  </si>
  <si>
    <t>When attacking this Hero, Crit don't grant extra dice.</t>
  </si>
  <si>
    <t>Magic Touch</t>
  </si>
  <si>
    <t>When attacking with a Magic Attack card, he rolls +1 die against Close targets.</t>
  </si>
  <si>
    <t>Mark</t>
  </si>
  <si>
    <t>Brothers in Arms</t>
  </si>
  <si>
    <t>When attacking, does not exhaust a non-Magic Melee attack card while Close to an Ally.</t>
  </si>
  <si>
    <t>Thereon</t>
  </si>
  <si>
    <t>Damian</t>
  </si>
  <si>
    <t>Daze of Wonder</t>
  </si>
  <si>
    <t>If he's attacked and doesn't suffer any Wounds, the attacker is Dazed.</t>
  </si>
  <si>
    <t>Algus</t>
  </si>
  <si>
    <t>Secret Fire</t>
  </si>
  <si>
    <t>Instead of using an attack card, may exhaust his Hero card to perform a Ranged attack, rolling as many dice as Wounds he has.</t>
  </si>
  <si>
    <t>Tyndall</t>
  </si>
  <si>
    <t>Spiteful</t>
  </si>
  <si>
    <t>Once per activation, she may take 1 Wound to deal 2 Wounds to an Enemy in Line of Sight.</t>
  </si>
  <si>
    <t>King David III</t>
  </si>
  <si>
    <t>Rallying</t>
  </si>
  <si>
    <t>Rivet</t>
  </si>
  <si>
    <t>Automated Response</t>
  </si>
  <si>
    <t>Britney</t>
  </si>
  <si>
    <t>Spear of Destiny</t>
  </si>
  <si>
    <t>When attacking with a Lance or Exotic attack card, each Crit deals one additional Hit.</t>
  </si>
  <si>
    <t>Gabriel</t>
  </si>
  <si>
    <t>Blink Magic</t>
  </si>
  <si>
    <t>If his Magic attack kills its target, he may place any living Allied Hero on the Space where the target died.</t>
  </si>
  <si>
    <t>Annika</t>
  </si>
  <si>
    <t>Spell Master</t>
  </si>
  <si>
    <t>May exhaust her Hero card to add +2 dice to a Magic Attack card.</t>
  </si>
  <si>
    <t>Dris</t>
  </si>
  <si>
    <t>Zen Archer</t>
  </si>
  <si>
    <t>When rolling for an attack with a Bow Attack card, she Hits on Melee icons instead of Ranged icons.</t>
  </si>
  <si>
    <t>Sarya</t>
  </si>
  <si>
    <t>Hell of a Deal</t>
  </si>
  <si>
    <t>Her Attack rolls get +1 die for each Exploration token in her possession.</t>
  </si>
  <si>
    <t>Julie</t>
  </si>
  <si>
    <t>Life Crystal</t>
  </si>
  <si>
    <t>If she rolls any Crit on a Defense roll, she may fully Heal any Character in Line of Sight.</t>
  </si>
  <si>
    <t>Jay</t>
  </si>
  <si>
    <t>Strike One</t>
  </si>
  <si>
    <t>If his attack doesn't deal any Wounds, he may activate another attack card this turn.</t>
  </si>
  <si>
    <t>Greenhood</t>
  </si>
  <si>
    <t>Sneaky</t>
  </si>
  <si>
    <t>Does not trigger Guard Reaction from flanked Monsters (a Monster with at least one other Enemy Close to it).</t>
  </si>
  <si>
    <t>Baruk</t>
  </si>
  <si>
    <t>Pillaging</t>
  </si>
  <si>
    <t>Gains 1 additional coin when he kills an Enemy Hero.</t>
  </si>
  <si>
    <t>Annabelle</t>
  </si>
  <si>
    <t>Monster Hunter</t>
  </si>
  <si>
    <t>When attacking Monsters, each Crit deals one additional Hit.</t>
  </si>
  <si>
    <t>Lucas</t>
  </si>
  <si>
    <t>Man on a Mission</t>
  </si>
  <si>
    <t>He rolls +2 dice per Quest that his Guild has accomplished.</t>
  </si>
  <si>
    <t>Phyx</t>
  </si>
  <si>
    <t>Secret of the Blade</t>
  </si>
  <si>
    <t>When attacking with a Sword attack card, each Crit deals one additional Hit.</t>
  </si>
  <si>
    <t>Oak</t>
  </si>
  <si>
    <t>Evergreen</t>
  </si>
  <si>
    <t>For each Outdoor Space that Oak leaves, he heals 1 Wound.</t>
  </si>
  <si>
    <t>Wanda</t>
  </si>
  <si>
    <t>Snappy Comeback</t>
  </si>
  <si>
    <t>Whenever she Resurrects, you may activate her at the end of the turn.</t>
  </si>
  <si>
    <t>Ironclad</t>
  </si>
  <si>
    <t>Ignores one Wound he would take from every attack.</t>
  </si>
  <si>
    <t>Magu</t>
  </si>
  <si>
    <t>Magic Friendship</t>
  </si>
  <si>
    <t>Exhaust her Hero card to unexhaust one Upgrade card, heal one Wound and remove one Death Curse from an Ally.</t>
  </si>
  <si>
    <t>Azure</t>
  </si>
  <si>
    <t>Shadowform</t>
  </si>
  <si>
    <t>Rolls +1 Defense die for each unused Movement Point.</t>
  </si>
  <si>
    <t>Toghor</t>
  </si>
  <si>
    <t>Double Dragon</t>
  </si>
  <si>
    <t>Kisha</t>
  </si>
  <si>
    <t>Lucky Shot</t>
  </si>
  <si>
    <t>+1 Reroll for every equipped non-Magic Ranged attack card.</t>
  </si>
  <si>
    <t>Hyldir</t>
  </si>
  <si>
    <t>Heavy Metal</t>
  </si>
  <si>
    <t>May exhaust each Hammer and axe attack card twice.</t>
  </si>
  <si>
    <t>Bjor of Oros</t>
  </si>
  <si>
    <t>Hard as a Rock</t>
  </si>
  <si>
    <t>Travis</t>
  </si>
  <si>
    <t>All Shook Up</t>
  </si>
  <si>
    <t>May exhaust his Hero card to Daze one Close Enemy.</t>
  </si>
  <si>
    <t>Tosh</t>
  </si>
  <si>
    <t>After a Melee attack, he may take 1 Wound to deal 1 extra Wound to his target.</t>
  </si>
  <si>
    <t>Graybark</t>
  </si>
  <si>
    <t>Call of the Wild</t>
  </si>
  <si>
    <t>Exhaust his Hero card to activate a Minor Minion in Line of Sight, performing its movement and/or attack against any enemy Hero.</t>
  </si>
  <si>
    <t>Mika</t>
  </si>
  <si>
    <t>Disarm</t>
  </si>
  <si>
    <t>May exhaust one card from an Enemy Hero when she enters their Space.</t>
  </si>
  <si>
    <t>Hilda</t>
  </si>
  <si>
    <t>Granny's Broth</t>
  </si>
  <si>
    <t>May exhaust her Hero card to fully heal one Hero in Line of Sight.</t>
  </si>
  <si>
    <t>Chuck</t>
  </si>
  <si>
    <t>Dice Tower Promo</t>
  </si>
  <si>
    <t>D-00</t>
  </si>
  <si>
    <t>D-01</t>
  </si>
  <si>
    <t>D-02</t>
  </si>
  <si>
    <t>D-03</t>
  </si>
  <si>
    <t>D-04</t>
  </si>
  <si>
    <t>D-05</t>
  </si>
  <si>
    <t>D-06</t>
  </si>
  <si>
    <t>D-07</t>
  </si>
  <si>
    <t>Aquaphobia</t>
  </si>
  <si>
    <t>This Hero cannot use Potion tokens.</t>
  </si>
  <si>
    <t>Nosebleed</t>
  </si>
  <si>
    <t>-1 Life</t>
  </si>
  <si>
    <t>Accident Prone</t>
  </si>
  <si>
    <t>This Hero suffers 1 Wound if his attack deals no Wounds.</t>
  </si>
  <si>
    <t>Dazed and Confused</t>
  </si>
  <si>
    <t>If this Hero suffers at least 1 Wound, he is Dazed.</t>
  </si>
  <si>
    <t>Tombstone</t>
  </si>
  <si>
    <t>TS-01</t>
  </si>
  <si>
    <t>TS-02</t>
  </si>
  <si>
    <t>TS-03</t>
  </si>
  <si>
    <t>TS-04</t>
  </si>
  <si>
    <t>TS-05</t>
  </si>
  <si>
    <t>TS-06</t>
  </si>
  <si>
    <t>TS-07</t>
  </si>
  <si>
    <t>TS-08</t>
  </si>
  <si>
    <t>TS-09</t>
  </si>
  <si>
    <t>TS-10</t>
  </si>
  <si>
    <t>TS-11</t>
  </si>
  <si>
    <t>TS-12</t>
  </si>
  <si>
    <t>Activate a Minor Minion, performing its movement and/or attack against any Hero of your choice.</t>
  </si>
  <si>
    <t>Activate a Minion of any type, performing its movement and/or attack against any Hero of your choice.</t>
  </si>
  <si>
    <t>Activate a Minor Villain or a Minion of any type, performing its movement and/or attack against any Hero of your choice.</t>
  </si>
  <si>
    <t>Activate a Villain or Minion of any type, performing its movement and/or attack against any Hero of your choice.</t>
  </si>
  <si>
    <t>Banishment</t>
  </si>
  <si>
    <t>Take any Minor Minion from the board and place it in the Spawn tile. (This does not count as a kill.)</t>
  </si>
  <si>
    <t>All Enemy Heroes whose figure is currently place on its Hero Card receives 1 extra Death token.</t>
  </si>
  <si>
    <t>Mounting Dread</t>
  </si>
  <si>
    <t>All other players must exhaust one Attack card from one of their living Heroes.</t>
  </si>
  <si>
    <t>Ray of Hope</t>
  </si>
  <si>
    <t>All Heroes in your Guild may heal 1 Wound and you may remove 1 Death Curse from a Hero.</t>
  </si>
  <si>
    <t>Acid Rain</t>
  </si>
  <si>
    <t>Just a Flesh Wound</t>
  </si>
  <si>
    <t>Select any 2 Monsters and heal 2 Wounds from each.</t>
  </si>
  <si>
    <t>Wake the Dead</t>
  </si>
  <si>
    <t>The first Monster from the Spawn tile is placed in this Space and immediately attacks the active Hero (if the Space is Full, place it in a Close Space).</t>
  </si>
  <si>
    <t>Kill the Dread King</t>
  </si>
  <si>
    <t>Kill the Dread King.</t>
  </si>
  <si>
    <t>Kill Frank</t>
  </si>
  <si>
    <t>Kill Frank.</t>
  </si>
  <si>
    <t>Kill Necromancer</t>
  </si>
  <si>
    <t>Kill a Necromancer.</t>
  </si>
  <si>
    <t>Kill Dr Spider</t>
  </si>
  <si>
    <t>Kill Dr Spider.</t>
  </si>
  <si>
    <t>Kill Skelebone</t>
  </si>
  <si>
    <t>Kill a Skelebone.</t>
  </si>
  <si>
    <t>Kill Ivan</t>
  </si>
  <si>
    <t>Kill Ivan.</t>
  </si>
  <si>
    <t>Gather Frank's Bride</t>
  </si>
  <si>
    <t>Recover your Guild's Quest token and bring it to your Starting Area.</t>
  </si>
  <si>
    <t>Rescue the Militia</t>
  </si>
  <si>
    <t>Escort one Quest token to the exit.</t>
  </si>
  <si>
    <t>Destroy Food Reserves</t>
  </si>
  <si>
    <t>Secure Weapons Cache</t>
  </si>
  <si>
    <t>Stop the Ritual</t>
  </si>
  <si>
    <t>Take 1 Death token to the central Space of the graveyard.</t>
  </si>
  <si>
    <t>Investigate the Quarters</t>
  </si>
  <si>
    <t>Brew the Serum</t>
  </si>
  <si>
    <t>Collect and take 2 Quest tokens to one of the designated Spaces.</t>
  </si>
  <si>
    <t>Cleanse the Noble Crypts</t>
  </si>
  <si>
    <t>Kill The Nameless.</t>
  </si>
  <si>
    <t>Kill The Nameless</t>
  </si>
  <si>
    <t>Kill The Heartless</t>
  </si>
  <si>
    <t>Kill The Heartless.</t>
  </si>
  <si>
    <t>Kill The Faceless</t>
  </si>
  <si>
    <t>Kill one of The Faceless.</t>
  </si>
  <si>
    <t>Kill Green</t>
  </si>
  <si>
    <t>Kill one Hero from opposing Green Guild.</t>
  </si>
  <si>
    <t>Kill Orange</t>
  </si>
  <si>
    <t>Kill Red</t>
  </si>
  <si>
    <t>Kill Blue</t>
  </si>
  <si>
    <t>Kill one Hero from opposing Orange Guild.</t>
  </si>
  <si>
    <t>Kill one Hero from opposing Red Guild.</t>
  </si>
  <si>
    <t>Kill one Hero from opposing Blue Guild.</t>
  </si>
  <si>
    <t>Kill Lord Fang</t>
  </si>
  <si>
    <t>Kill Lord Fang.</t>
  </si>
  <si>
    <t>Kill the Minotaur</t>
  </si>
  <si>
    <t>Kill the Minotaur.</t>
  </si>
  <si>
    <t>Kill a Hammer Beastman.</t>
  </si>
  <si>
    <t>Kill one Sister</t>
  </si>
  <si>
    <t>Kill either a Sister of Pain or a Sister of Pleasure.</t>
  </si>
  <si>
    <t>Kill Orc Captain</t>
  </si>
  <si>
    <t>Kill an Orc Captain.</t>
  </si>
  <si>
    <t>Kill the Troll</t>
  </si>
  <si>
    <t>Kill the Troll.</t>
  </si>
  <si>
    <t>King of the Arena</t>
  </si>
  <si>
    <t>Activate 5 times at the same Quest token, or 1 time at each different token.</t>
  </si>
  <si>
    <t>Rescue the Eagles</t>
  </si>
  <si>
    <t>Recover Two Clues</t>
  </si>
  <si>
    <t>Recover 2 of your Guild tokens.</t>
  </si>
  <si>
    <t>Recover the Bomb</t>
  </si>
  <si>
    <t>Destroy One Stone</t>
  </si>
  <si>
    <t>Recover the Rare Ingredients</t>
  </si>
  <si>
    <t>Find the Tomes</t>
  </si>
  <si>
    <t>Find the Lost Weapons</t>
  </si>
  <si>
    <t>Close the Gate</t>
  </si>
  <si>
    <t>Step on Red or Green to help close the gate (remove 1 Spawn point).</t>
  </si>
  <si>
    <t>Save the Lords</t>
  </si>
  <si>
    <t>Aid the Resistance</t>
  </si>
  <si>
    <t>Save the Slum Royalty</t>
  </si>
  <si>
    <t>Hassan</t>
  </si>
  <si>
    <t>Charmed</t>
  </si>
  <si>
    <t>No Reroll can be used when attacking him or defending from his attack.</t>
  </si>
  <si>
    <t>Leeroy</t>
  </si>
  <si>
    <t>Lone Wolf</t>
  </si>
  <si>
    <t>Gets a +1 die bonus to all rolls as long as he has no Allies in Line of Sight.</t>
  </si>
  <si>
    <t>McHammer</t>
  </si>
  <si>
    <t>Scuffle</t>
  </si>
  <si>
    <t>For each Crit he rolls on a non-Magic Melee attack, he may deal a Wound to any other Close Enemy.</t>
  </si>
  <si>
    <t>Nibbles</t>
  </si>
  <si>
    <t>Devour</t>
  </si>
  <si>
    <t>Whenever he kills an Enemy, he heals all of his own Wounds.</t>
  </si>
  <si>
    <t>Yun</t>
  </si>
  <si>
    <t>Relentless</t>
  </si>
  <si>
    <t>If he rolls any Crit on a Defense roll, he may unexhaust one of his cards.</t>
  </si>
  <si>
    <t>Zahra</t>
  </si>
  <si>
    <t>Acrobat</t>
  </si>
  <si>
    <t>During Movement, moving into a Space occupied by a Hero does not cost her a Movement Point.</t>
  </si>
  <si>
    <t>Whenever an enemy reveals a Brimstone Card, this Hero immediately receives 1 Damnation.</t>
  </si>
  <si>
    <t>May target an additional Enemy Close to this Hero.</t>
  </si>
  <si>
    <t>1-01</t>
  </si>
  <si>
    <t>1-02</t>
  </si>
  <si>
    <t>1-03</t>
  </si>
  <si>
    <t>1-04</t>
  </si>
  <si>
    <t>1-05</t>
  </si>
  <si>
    <t>1-06</t>
  </si>
  <si>
    <t>1-07</t>
  </si>
  <si>
    <t>1-09</t>
  </si>
  <si>
    <t>1-10</t>
  </si>
  <si>
    <t>1-11</t>
  </si>
  <si>
    <t>Your Sword and Axe attacks may target an additional Enemy Close to this Hero.</t>
  </si>
  <si>
    <t>When you activate a different Hero, you may move this Hero 1 Space.</t>
  </si>
  <si>
    <t>+1 die to one Attack Card.</t>
  </si>
  <si>
    <t>Each hit heals 1 Wound from this Hero.</t>
  </si>
  <si>
    <t>2-01</t>
  </si>
  <si>
    <t>2-02</t>
  </si>
  <si>
    <t>2-03</t>
  </si>
  <si>
    <t>2-04</t>
  </si>
  <si>
    <t>2-05</t>
  </si>
  <si>
    <t>2-06</t>
  </si>
  <si>
    <t>2-07</t>
  </si>
  <si>
    <t>2-08</t>
  </si>
  <si>
    <t>2-09</t>
  </si>
  <si>
    <t>2-10</t>
  </si>
  <si>
    <t>2-12</t>
  </si>
  <si>
    <t>2-13</t>
  </si>
  <si>
    <t>3-02</t>
  </si>
  <si>
    <t>3-03</t>
  </si>
  <si>
    <t>3-04</t>
  </si>
  <si>
    <t>3-05</t>
  </si>
  <si>
    <t>3-06</t>
  </si>
  <si>
    <t>3-07</t>
  </si>
  <si>
    <t>3-08</t>
  </si>
  <si>
    <t>3-09</t>
  </si>
  <si>
    <t>3-10</t>
  </si>
  <si>
    <t>3-11</t>
  </si>
  <si>
    <t>3-12</t>
  </si>
  <si>
    <t>3-13</t>
  </si>
  <si>
    <t>3-14</t>
  </si>
  <si>
    <t>3-15</t>
  </si>
  <si>
    <t>4-03</t>
  </si>
  <si>
    <t>4-04</t>
  </si>
  <si>
    <t>4-05</t>
  </si>
  <si>
    <t>4-06</t>
  </si>
  <si>
    <t>4-07</t>
  </si>
  <si>
    <t>4-08</t>
  </si>
  <si>
    <t>4-10</t>
  </si>
  <si>
    <t>4-11</t>
  </si>
  <si>
    <t>4-12</t>
  </si>
  <si>
    <t>4-13</t>
  </si>
  <si>
    <t>5-01</t>
  </si>
  <si>
    <t>4-14</t>
  </si>
  <si>
    <t>5-02</t>
  </si>
  <si>
    <t>5-03</t>
  </si>
  <si>
    <t>5-04</t>
  </si>
  <si>
    <t>5-05</t>
  </si>
  <si>
    <t>5-06</t>
  </si>
  <si>
    <t>5-07</t>
  </si>
  <si>
    <t>5-08</t>
  </si>
  <si>
    <t>5-09</t>
  </si>
  <si>
    <t>5-10</t>
  </si>
  <si>
    <t>5-11</t>
  </si>
  <si>
    <t>5-13</t>
  </si>
  <si>
    <t>5-14</t>
  </si>
  <si>
    <t>5-15</t>
  </si>
  <si>
    <t>Add an extra +1 Reroll per Death token on this Hero.</t>
  </si>
  <si>
    <t>Limit 1 armor per Hero. Cancels one Wound per Death token on the attacker.</t>
  </si>
  <si>
    <t>May exhaust your Hero card to force an attack made against you to be rolled again.</t>
  </si>
  <si>
    <t>When you activate a different Hero, you may move this Hero 2 Spaces.</t>
  </si>
  <si>
    <t>Only Crit on the Defense roll score saves against this attack. +1 die against Monsters</t>
  </si>
  <si>
    <t>Any Monster moving into a Space Close to this Hero suffers 1 Wound.</t>
  </si>
  <si>
    <t>+2 dice against Heroes with any exhausted cards.</t>
  </si>
  <si>
    <t>May exhaust Hero to get +2 on a Defense roll.</t>
  </si>
  <si>
    <t>At the start of your activation, you may deal 1 Wound to any Close Enemies.</t>
  </si>
  <si>
    <t>+2 dice if the target has any Death tokens.</t>
  </si>
  <si>
    <t>Limit 1 armor per Hero. This Hero can exhaust each card one extra time.</t>
  </si>
  <si>
    <t>If this deals a Wound, your target is Dazed. +1 die against Heroes.</t>
  </si>
  <si>
    <t>Exhaust this Hero to immediately Resurrect one Ally.</t>
  </si>
  <si>
    <t>Wand of Haste</t>
  </si>
  <si>
    <t>If this rolls any Crit, may target an additional Enemy Close to the target</t>
  </si>
  <si>
    <t>If this rolls any Crit, may target an additional Enemy Close to the target.</t>
  </si>
  <si>
    <t>+1 die to a Bow attack and an extra +1 die per Death Token on this Hero.</t>
  </si>
  <si>
    <t>If this rolls any Crit, take the first Monster from the Spawn tile, place it Close to your target and have it attack him.</t>
  </si>
  <si>
    <t>If this rolls any Crit, place your Guild token on the target's figure. At the start of each of your turns, the target suffers a Wound (Rest removes this).</t>
  </si>
  <si>
    <t>If this rolls any Crit, you may place any Hero in Line of Sight on a Space Close to a portal.</t>
  </si>
  <si>
    <t>Only Crit on the Defense roll score Saves against this attack. +1 die against Monsters.</t>
  </si>
  <si>
    <t>Only Crit on the Defense roll score Saves against this attack.</t>
  </si>
  <si>
    <t>If this rolls any Crit, move the target up to 4 Spaces (this move doesn't trigger Guard Reaction).</t>
  </si>
  <si>
    <t>Brutal Boots</t>
  </si>
  <si>
    <t>+1 die to a Magic attack card. After the attack, this Hero gains 1 extra Movement Point to use this turn.</t>
  </si>
  <si>
    <t>If your attack rolls any Crit, you may activate another Allied Hero this turn.</t>
  </si>
  <si>
    <t>If this rolls any Crit, move target and 1 extra Close Enemy up to 4 Spaces (this move doesn't trigger Guard Reaction).</t>
  </si>
  <si>
    <t>If this rolls any Crit, move the target and all Close Enemies up to 4 Spaces (this move doesn't trigger Guard Reaction).</t>
  </si>
  <si>
    <t>Only Crit on Attack dice score a Hit against this Pet.</t>
  </si>
  <si>
    <t>If this rolls any Crit, move target and all Close Enemies up to 4 Spaces (this move doesn't trigger Guard Reaction).</t>
  </si>
  <si>
    <t>Rider gets +1 die to every attack.</t>
  </si>
  <si>
    <t>If this rolls any Crit against a Mount, may move it up to 3 spaces (this Move doesn't trigger Guard Reactions).</t>
  </si>
  <si>
    <t>Reroll</t>
  </si>
  <si>
    <t>Reward</t>
  </si>
  <si>
    <t>Starting</t>
  </si>
  <si>
    <t>Close Enemy Heroes can't use Portals or open Doors.</t>
  </si>
  <si>
    <t>When an Owner attacks an Enemy in Cerby's Space, the attack may target an additional Enemy Close to it.</t>
  </si>
  <si>
    <t>When an Owner attacks an Enemy in Cerby's Space, the attack may target 2 additional Enemies Close to it.</t>
  </si>
  <si>
    <t>When an Owner attacks an Enemy in Cerby's Space, the attack may target 3 additional Enemies Close to it.</t>
  </si>
  <si>
    <t>Close Enemies roll -1 die when attacking Owners.</t>
  </si>
  <si>
    <t>Close Enemies roll -2 dice when attacking Owners.</t>
  </si>
  <si>
    <t>When an Owner attack an Enemy Close to Puff, each Crit deals an additional Hit.</t>
  </si>
  <si>
    <t>Steady Slingshot</t>
  </si>
  <si>
    <t>This rolls +2 dice if you don't perform your Movement.</t>
  </si>
  <si>
    <t>PRS-01</t>
  </si>
  <si>
    <t>2016 CMON Expo</t>
  </si>
  <si>
    <t>Diva</t>
  </si>
  <si>
    <t>Tough as Nails</t>
  </si>
  <si>
    <t>Spike</t>
  </si>
  <si>
    <t>Vengeance</t>
  </si>
  <si>
    <t>Each Crit on his Defense roll deals 1 Wound to the attacker.</t>
  </si>
  <si>
    <t>Scarlet</t>
  </si>
  <si>
    <t>Backstab</t>
  </si>
  <si>
    <t>Roll +1 die when attacking a flanked target (a target with at least one other Enemy Close to it).</t>
  </si>
  <si>
    <t>Kanga</t>
  </si>
  <si>
    <t>Self-Sacrifice</t>
  </si>
  <si>
    <t>May take a Wound instead of exhausting a card.</t>
  </si>
  <si>
    <t>Grom</t>
  </si>
  <si>
    <t>Berserk</t>
  </si>
  <si>
    <t>Roll +1 die in all rolls while wounded.</t>
  </si>
  <si>
    <t>Maya</t>
  </si>
  <si>
    <t>Mana Mastery</t>
  </si>
  <si>
    <t>May exhaust each Magic attack card twice.</t>
  </si>
  <si>
    <t>Johan</t>
  </si>
  <si>
    <t>Blade Throw</t>
  </si>
  <si>
    <t>May use Sword attack cards as Ranged attack cards (you still need Melee icons to hit).</t>
  </si>
  <si>
    <t>Seth</t>
  </si>
  <si>
    <t>Piercing Magic</t>
  </si>
  <si>
    <t>When attacking with a Magic card, the target does not roll Defense dice.</t>
  </si>
  <si>
    <t>Zazu</t>
  </si>
  <si>
    <t>Stealth</t>
  </si>
  <si>
    <t>When moving, does not trigger Guard Reaction.</t>
  </si>
  <si>
    <t>Opportunist</t>
  </si>
  <si>
    <t>Greensleeves</t>
  </si>
  <si>
    <t>Bow Mastery</t>
  </si>
  <si>
    <t>Hobsbawm</t>
  </si>
  <si>
    <t>Blessing</t>
  </si>
  <si>
    <t>If he uses a Magic attack card and does not perform his Movement, you may activate another Ally within Line of Sight.</t>
  </si>
  <si>
    <t>Darryn</t>
  </si>
  <si>
    <t>Bruiser</t>
  </si>
  <si>
    <t>Rolls +1 die on attacks against targets that have no Wounds.</t>
  </si>
  <si>
    <t>Chaz</t>
  </si>
  <si>
    <t>Not the Face</t>
  </si>
  <si>
    <t>Rolls +2 dice on Melee attacks as long as he is not wounded.</t>
  </si>
  <si>
    <t>Monkey King</t>
  </si>
  <si>
    <t>Trickster</t>
  </si>
  <si>
    <t>Each Crit on his Defense roll scores an additional save. If he rolls any Crit (defense), may place his figure in a Close Space.</t>
  </si>
  <si>
    <t>Prince Aaron</t>
  </si>
  <si>
    <t>All Enemies Close to him have -2 Defense against attacks made by him or his Allies.</t>
  </si>
  <si>
    <t>Pigsy</t>
  </si>
  <si>
    <t>Snack Break</t>
  </si>
  <si>
    <t>He may heal all of his Wounds whenever he Rests.</t>
  </si>
  <si>
    <t>Viktor</t>
  </si>
  <si>
    <t>Hunter</t>
  </si>
  <si>
    <t>If his attack kills its target, he may activate another attack card this turn.</t>
  </si>
  <si>
    <t>Sting</t>
  </si>
  <si>
    <t>Outcast</t>
  </si>
  <si>
    <t>Rolls +1 die when attacking Monsters.</t>
  </si>
  <si>
    <t>Elysia</t>
  </si>
  <si>
    <t>Petrifying Gaze</t>
  </si>
  <si>
    <t>For each Crit she rolls on an attack, place 1 of her Guild tokens on the target's figure. Target loses 1 Movement Point per token. (Resting removes these tokens. No effect on Villains)</t>
  </si>
  <si>
    <t>Pluck</t>
  </si>
  <si>
    <t>Explosive Shot</t>
  </si>
  <si>
    <t>If he rolls any hits with a non-Magic Ranged attack, may move any figures in the target's Space up to 2 Spaces (this doesn't trigger Guard Reaction).</t>
  </si>
  <si>
    <t>Chooloo</t>
  </si>
  <si>
    <t>Mind Assault</t>
  </si>
  <si>
    <t>May exhaust his Hero card to Daze one Enemy in Line of Sight.</t>
  </si>
  <si>
    <t>Monkey Queen</t>
  </si>
  <si>
    <t>Monkey See Monkey Do</t>
  </si>
  <si>
    <t>At any point during her activation, she may copy the natural ability of a single Hero in Line of Sight for this turn.</t>
  </si>
  <si>
    <t>Bowie</t>
  </si>
  <si>
    <t>Hit and Run</t>
  </si>
  <si>
    <t>Right after attacking with a Bow attack card, he gets 2 extra Movement Points to use immediately.</t>
  </si>
  <si>
    <t>Lydia</t>
  </si>
  <si>
    <t>Drainblade</t>
  </si>
  <si>
    <t>For each Wound she deals with a Sword, Axe or Lance attack, she heals 1 of her Wounds.</t>
  </si>
  <si>
    <t>Montoya</t>
  </si>
  <si>
    <t>Swordmaster</t>
  </si>
  <si>
    <t>May exhaust his Hero card to add +2 dice to a Sword attack card.</t>
  </si>
  <si>
    <t>Lord Fang</t>
  </si>
  <si>
    <t>Beckoning</t>
  </si>
  <si>
    <t>May exhaust his Hero card to place a Hero in Line of Sight in a Space Close to him.</t>
  </si>
  <si>
    <t>Smiley Faceless</t>
  </si>
  <si>
    <t>Swindling Spell</t>
  </si>
  <si>
    <t>+1 Reroll. When attacking with a Magic attack card, he may use every Reroll in his Guild.</t>
  </si>
  <si>
    <t>The Heartless</t>
  </si>
  <si>
    <t>Sheer Heart Attack</t>
  </si>
  <si>
    <t>Hitch</t>
  </si>
  <si>
    <t>Braindrain</t>
  </si>
  <si>
    <t>While sharing a Space with a Hero, may attack with one of that Hero's unexhausted Attack cards (without exhausting it).</t>
  </si>
  <si>
    <t>Black Newt</t>
  </si>
  <si>
    <t>Scent of Blood</t>
  </si>
  <si>
    <t>Rolls +1 die in attack rolls against a wounded target.</t>
  </si>
  <si>
    <t>The Nameless</t>
  </si>
  <si>
    <t>Mastermind</t>
  </si>
  <si>
    <t>If his Magic attack rolls any Crit, another Allied Hero may activate and perform his Movement only.</t>
  </si>
  <si>
    <t>Bob</t>
  </si>
  <si>
    <t>Wiz Bang</t>
  </si>
  <si>
    <t>If he rolls any Crit on a Magic attack, any living Hero of his Guild may be placed Close to the target.</t>
  </si>
  <si>
    <t>King of Thieves</t>
  </si>
  <si>
    <t>Coveting</t>
  </si>
  <si>
    <t>Rolls +2 attack dice if his target has any Exploration token.</t>
  </si>
  <si>
    <t>Sonja</t>
  </si>
  <si>
    <t>Frenzy</t>
  </si>
  <si>
    <t>Queen of Beggars</t>
  </si>
  <si>
    <t>Trick or Treat</t>
  </si>
  <si>
    <t>If she ends her movement Close to an Enemy Hero, he must give her an Exploration token or take 1 Wound (limit 1 Hero per turn).</t>
  </si>
  <si>
    <t>Morgan</t>
  </si>
  <si>
    <t>Mystic Aura</t>
  </si>
  <si>
    <t>+1 Defense and +1 Life for each equipped Magic attack card.</t>
  </si>
  <si>
    <t>Koba</t>
  </si>
  <si>
    <t>May exhaust her Hero card to place her figure Close to any Allied Hero.</t>
  </si>
  <si>
    <t>Surprised Faceless</t>
  </si>
  <si>
    <t>Banshee Spell</t>
  </si>
  <si>
    <t>If his Magic attack deals a Wound, the target is Dazed.</t>
  </si>
  <si>
    <t>Frowny Faceless</t>
  </si>
  <si>
    <t>Tenacious Spell</t>
  </si>
  <si>
    <t>Does not exhaust a Magic attack card when attacking a wounded target.</t>
  </si>
  <si>
    <t>Serious Faceless</t>
  </si>
  <si>
    <t>Haste Spell</t>
  </si>
  <si>
    <t>Right after attacking with a Magic attack card, he gets 2 extra Movement Points to use immediately.</t>
  </si>
  <si>
    <t>Lilith</t>
  </si>
  <si>
    <t>Blood Ritual</t>
  </si>
  <si>
    <t>For each Wound she deals with a Magic attack, she heals 1 of her Wounds.</t>
  </si>
  <si>
    <t>Mamba</t>
  </si>
  <si>
    <t>Rosh</t>
  </si>
  <si>
    <t>Viola</t>
  </si>
  <si>
    <t>Crash</t>
  </si>
  <si>
    <t>Yona</t>
  </si>
  <si>
    <t>Kuruk</t>
  </si>
  <si>
    <t>Tiaret</t>
  </si>
  <si>
    <t>Mittens</t>
  </si>
  <si>
    <t>Haldor</t>
  </si>
  <si>
    <t>Brenna</t>
  </si>
  <si>
    <t>Aeric</t>
  </si>
  <si>
    <t>Farfalla</t>
  </si>
  <si>
    <t>Sir Bryce</t>
  </si>
  <si>
    <t>Wisp</t>
  </si>
  <si>
    <t>Masmorra</t>
  </si>
  <si>
    <t>Masmorra KS</t>
  </si>
  <si>
    <t>Masmorra Adventurer's Set</t>
  </si>
  <si>
    <t>Kitty Claws</t>
  </si>
  <si>
    <t>Savage Throw</t>
  </si>
  <si>
    <t>May use Land and Exotic cards as Ranged attack cards (you still need Melee icons to hit).</t>
  </si>
  <si>
    <t>When using one of her Attack cards, she may exhaust any Close Hero's Attack card instead.</t>
  </si>
  <si>
    <t>Regrowth</t>
  </si>
  <si>
    <t>May Resurrect fully unexhausted at the beginning of your turn, with no need to Rest.</t>
  </si>
  <si>
    <t>Constrictor</t>
  </si>
  <si>
    <t>If she ends her Movement Close to any Enemy Heroes, she may exhaust one card on each of them.</t>
  </si>
  <si>
    <t>Sucker Punch</t>
  </si>
  <si>
    <t>When attacking a flanked target (a target with at least one different Enemy Close to it) with a non-Magic Melee attack, the target does not roll Defense dice.</t>
  </si>
  <si>
    <t>Weak Spot</t>
  </si>
  <si>
    <t>Whenever he kills a Minion of any type, he Overkills it.</t>
  </si>
  <si>
    <t>Princess Pearl</t>
  </si>
  <si>
    <t>2017 GenCon</t>
  </si>
  <si>
    <t>Exhaust hero to un-exhaust a hero in line of sight.</t>
  </si>
  <si>
    <t>(No ability)</t>
  </si>
  <si>
    <t>Tomrick</t>
  </si>
  <si>
    <t>Character Pack</t>
  </si>
  <si>
    <t>Gambler's Luck</t>
  </si>
  <si>
    <t>After rolling a Magic Attack, he may exhaust his Hero card to change a single failed die to a Crit.</t>
  </si>
  <si>
    <t>2015 Dice Tower KS</t>
  </si>
  <si>
    <t>Rolls +1 die on all non-Magic melee attacks for each enemy hero he's killed this scenario.</t>
  </si>
  <si>
    <t>Body Count</t>
  </si>
  <si>
    <t>Lightning Strike</t>
  </si>
  <si>
    <t>Once per activation, she may take 1 wound to deal 1 wound to all close enemies.</t>
  </si>
  <si>
    <t>When attacking with a Bow Attack card, may exhaust his Hero Card to roll the attack again from scratch.</t>
  </si>
  <si>
    <t>Dancing Arrows</t>
  </si>
  <si>
    <t>Life Bringer</t>
  </si>
  <si>
    <t>Butterfly Effect</t>
  </si>
  <si>
    <t>Rolls +2 dice on defense rolls against Ranged attacks.</t>
  </si>
  <si>
    <t>Panda Resilience</t>
  </si>
  <si>
    <t>Goblin Archer</t>
  </si>
  <si>
    <t>Arrow to the Knee</t>
  </si>
  <si>
    <t>Orc Marauder</t>
  </si>
  <si>
    <t>Hack n' Slash</t>
  </si>
  <si>
    <t>Orc Captain</t>
  </si>
  <si>
    <t>Spear Beastman</t>
  </si>
  <si>
    <t>Javelin Throw</t>
  </si>
  <si>
    <t>Rolls +1 die if Close to any Monsters.</t>
  </si>
  <si>
    <t>Hammer Beastman</t>
  </si>
  <si>
    <t>Hammer Time!</t>
  </si>
  <si>
    <t>If he deals a Wound, the target is Dazed.</t>
  </si>
  <si>
    <t>Minotaur</t>
  </si>
  <si>
    <t>Gouge</t>
  </si>
  <si>
    <t>Troll</t>
  </si>
  <si>
    <t>Crush your Heads!</t>
  </si>
  <si>
    <t>Targets all Close Heroes.</t>
  </si>
  <si>
    <t>Sister of Pleasure</t>
  </si>
  <si>
    <t>Siphon</t>
  </si>
  <si>
    <t>When attacking, each Crit heals 2 Wounds.</t>
  </si>
  <si>
    <t>Sister of Pain</t>
  </si>
  <si>
    <t>Wail of Agony</t>
  </si>
  <si>
    <t>When attacking, each Crit exhausts one of the target's attack cards.</t>
  </si>
  <si>
    <t>Blood Bath</t>
  </si>
  <si>
    <t>May also target any number of Enemies Close to the target.</t>
  </si>
  <si>
    <t>May also target any number of Enemies Close to the target. When attacking, each Crit heals 2 wounds.</t>
  </si>
  <si>
    <t>Arcadia Quest KS</t>
  </si>
  <si>
    <t>Madness</t>
  </si>
  <si>
    <t>Any Hero activating within Line of Sight of him suffers 1 Wound.</t>
  </si>
  <si>
    <t>Schmetterling!</t>
  </si>
  <si>
    <t>Schmetterling's Axe</t>
  </si>
  <si>
    <t>Bulroarer</t>
  </si>
  <si>
    <t>Axe Flinger Zombie</t>
  </si>
  <si>
    <t>Flying Axe</t>
  </si>
  <si>
    <t>Instantly discards all Wounds unless he's Overkilled.</t>
  </si>
  <si>
    <t>Slasher Zombie</t>
  </si>
  <si>
    <t>Slash</t>
  </si>
  <si>
    <t>Skelebone</t>
  </si>
  <si>
    <t>Bone Stab</t>
  </si>
  <si>
    <t>Ghost</t>
  </si>
  <si>
    <t>Ghostly Poke</t>
  </si>
  <si>
    <t>Ignores all blocking elements for movement, attacks and Guard Reaction triggered by a move.</t>
  </si>
  <si>
    <t>Necromancer</t>
  </si>
  <si>
    <t>Dance of the Dead</t>
  </si>
  <si>
    <t>If he rolls any Crit, the first Monster from the Spawn tile is placed Close to the target and any one Minor Minion performs a Payback Reaction against the target.</t>
  </si>
  <si>
    <t>Frank</t>
  </si>
  <si>
    <t>Smash!</t>
  </si>
  <si>
    <t>For each Wound token he has, he rolls +1 die in all rolls.</t>
  </si>
  <si>
    <t>Ivan</t>
  </si>
  <si>
    <t>Brain Burner</t>
  </si>
  <si>
    <t>If his attack rolls any Crit, he ends the target's activation and controls a new activation of the target (who may not activate another Hero).</t>
  </si>
  <si>
    <t>Dr. Spider</t>
  </si>
  <si>
    <t>Monster Maker</t>
  </si>
  <si>
    <t>If his attack rolls any Crit, place the target on the Spawn Tile, replacing it with any one Monster from the Spawn tile (if there's any).</t>
  </si>
  <si>
    <t>Dread King</t>
  </si>
  <si>
    <t>Dreadnaught</t>
  </si>
  <si>
    <t>Only Crit score a hit against him. He Shoves Characters when moving, dealing 1 Wound to each Shoved Character.</t>
  </si>
  <si>
    <t>The Faceless</t>
  </si>
  <si>
    <t>Expelling Blast</t>
  </si>
  <si>
    <t>If he rolls a Crit, place the target in his Starting Area.</t>
  </si>
  <si>
    <t>Cursed Blade</t>
  </si>
  <si>
    <t>If her attack rolls any Crit, add 1 extra Death token to the target.</t>
  </si>
  <si>
    <t>The Coven</t>
  </si>
  <si>
    <t>If his attack rolls any Crit, place 1 Faceless Close to him (from the box or Spawn tile). All Close Faceless attack the active Hero.</t>
  </si>
  <si>
    <t>Arcadia Quest KS Optional Buy</t>
  </si>
  <si>
    <t>Beyond the Grave KS Bonus</t>
  </si>
  <si>
    <t>Chaos Dragon KS Bonus</t>
  </si>
  <si>
    <t>Fire Dragon KS Bonus</t>
  </si>
  <si>
    <t>Frost Dragon KS Bonus</t>
  </si>
  <si>
    <t>Arcadia Quest KS / Guildmaster's</t>
  </si>
  <si>
    <t>Inferno KS / Hell of a Box</t>
  </si>
  <si>
    <t>Pets KS Bonus</t>
  </si>
  <si>
    <t>Riders KS Bonus</t>
  </si>
  <si>
    <t>When an Enemy Close to him is attacked by an Ally, the Enemy suffers 2 additional Wounds.</t>
  </si>
  <si>
    <t>Escort the Blue or Orange Quest token to the indicated area.</t>
  </si>
  <si>
    <t>Kill Hammer Beastman</t>
  </si>
  <si>
    <t>Find the Red or Green Quest tokens and escort to your starting player area.</t>
  </si>
  <si>
    <t>Explore another player's Starting Area with no Enemies in it.</t>
  </si>
  <si>
    <t>Retrieve an Angel Feather</t>
  </si>
  <si>
    <t>Shove 1 Jacklol out of the city.</t>
  </si>
  <si>
    <t>Expel the Jacklols</t>
  </si>
  <si>
    <t>All Enemy Heroes that are in an outdoor Space suffer 1 Wound.</t>
  </si>
  <si>
    <t>When attacking with a Bow attack card, each Crit deals one additional hit.</t>
  </si>
  <si>
    <t>Does not exhaust an attack card when attacking a flanked target (a target with at least one other Enemy Close to it).</t>
  </si>
  <si>
    <t>Rolls +1 die per Close Enemy on non-Magic Melee attack rolls.</t>
  </si>
  <si>
    <t>When attacking with a Sword attack card, the target does not roll Defense dice.</t>
  </si>
  <si>
    <t>Deals 1 Wound to any Enemy that leaves a Space Close to him (limit 1 Wound per Enemy per turn).</t>
  </si>
  <si>
    <t>If he ends his activation in the same Space as an Allied Hero and doesn't use an Attack card, you may activate that Allied Hero.</t>
  </si>
  <si>
    <t>Exhaust her Hero card to immediately Resurrect one Ally, fully unexhausted.</t>
  </si>
  <si>
    <t>If his Melee attack rolls any Crit, he may perform a free 3 dice Melee Attack against the same target after fully resolving the attack.</t>
  </si>
  <si>
    <t>Exhaust his Hero card to deal 1 Wound and exhaust 1 Attack card of a Hero in Line of Sight.</t>
  </si>
  <si>
    <t>Heals 1 Wound from Allies when he enters their Space (limit 1 Ally per turn).</t>
  </si>
  <si>
    <t>When attacking with a Hammer or Exotic Weapon, may target an additional Enemy Close to her.</t>
  </si>
  <si>
    <t>After attacking with a Melee Attack card, may exhaust his Hero card to perform a new attack this turn.</t>
  </si>
  <si>
    <t>Each Crit places a Wild Pet Close to her (limit of 4 - take from the box if needed.) Close Pets never run away. For each Close Pet, she gains +1 Life and +1 die in all rolls.</t>
  </si>
  <si>
    <t>Place this Mount and Rider in any empty Space in Line of Sight.</t>
  </si>
  <si>
    <t>Place 2 Fire Tokens on each of the following Fire Bombs: (1,2,3)/(4,5,6)/(2,4,6)/(2,3,6)/(1,4,5)/(1,3,5) - (Each card has a different set of the  numbers in parenthesis)</t>
  </si>
  <si>
    <t>Grand Total</t>
  </si>
  <si>
    <t>2016 CMON Expo Total</t>
  </si>
  <si>
    <t>Arcadia Quest Total</t>
  </si>
  <si>
    <t>Beyond the Grave Total</t>
  </si>
  <si>
    <t>Chaos Dragon Total</t>
  </si>
  <si>
    <t>Fire Dragon Total</t>
  </si>
  <si>
    <t>Frost Dragon Total</t>
  </si>
  <si>
    <t>Inferno Total</t>
  </si>
  <si>
    <t>Pets Total</t>
  </si>
  <si>
    <t>Poison Dragon Total</t>
  </si>
  <si>
    <t>Riders Total</t>
  </si>
  <si>
    <t>Whole Lotta Lava Total</t>
  </si>
  <si>
    <t>Sum of QTY</t>
  </si>
  <si>
    <t>Total</t>
  </si>
  <si>
    <t>Item Types by Set</t>
  </si>
  <si>
    <t>Upgrades</t>
  </si>
  <si>
    <t>Quests</t>
  </si>
  <si>
    <t>Death Curses</t>
  </si>
  <si>
    <t>Stone Cards</t>
  </si>
  <si>
    <t>Heroes</t>
  </si>
  <si>
    <t>Monsters</t>
  </si>
  <si>
    <t>Mounts</t>
  </si>
  <si>
    <t>Dragons</t>
  </si>
  <si>
    <t>Dragon Turns</t>
  </si>
  <si>
    <t>Card Counts by Set</t>
  </si>
  <si>
    <t>Usagi Yojimbo Hero Pack</t>
  </si>
  <si>
    <t>Miyamoto Usagi</t>
  </si>
  <si>
    <t>Ronin</t>
  </si>
  <si>
    <t>+3 Rerolls when attacking with a Sword attack card.</t>
  </si>
  <si>
    <t>Murakami Gennosuke</t>
  </si>
  <si>
    <t>Bounty Hunter</t>
  </si>
  <si>
    <t>At the start of the game, choose and place any 1 Guild token above this card. Roll +1 die against that Guild (or Monsters if you chose your Guild).</t>
  </si>
  <si>
    <t>Kitsune</t>
  </si>
  <si>
    <t>Pick Pocket</t>
  </si>
  <si>
    <t>When Kitsune kills an enemy Hero, she gains 2 additional coins per Quest that the targeted Hero's Guild has accomplished.</t>
  </si>
  <si>
    <t>May store up to 3 unused non-CRIT dice rolled by close owners (lost if Chuck dies). Close Owners may move these stored results to their rolls.</t>
  </si>
  <si>
    <t>Dicey Pet</t>
  </si>
  <si>
    <t>May store up to 4 unused non-CRIT dice rolled by close owners (lost if Chuck dies). Close Owners may move these stored results to their rolls.</t>
  </si>
  <si>
    <t>Boar Pet</t>
  </si>
  <si>
    <t>When Jamon ends his Movement, he may Shove one Character in his Space to any other Close Spaces of your choice.</t>
  </si>
  <si>
    <t>When Jamon ends his Movement, he may Shove two Character in his Space to any other Close Spaces of your choice.</t>
  </si>
  <si>
    <t>When Jamon ends his Movement, he may Shove all Character in his Space to any other Close Spaces of your choice.</t>
  </si>
  <si>
    <t>Kitty Pet</t>
  </si>
  <si>
    <t>Cuddle Time</t>
  </si>
  <si>
    <t>During Movement, Enemy Heroes have to spend an additional Movement Point to leave Cookie's Space.</t>
  </si>
  <si>
    <t>During Movement, Enemy Heroes have to spend 2 additional Movement Points to leave Cookie's Space.</t>
  </si>
  <si>
    <t>Frog Pet</t>
  </si>
  <si>
    <t>Quick Tongue</t>
  </si>
  <si>
    <t>When a Close Owner attacks an Enemy Hero, the Owner may take an Exploration token of their choice from the Enemy.</t>
  </si>
  <si>
    <t>When a Close Owner attacks an Enemy Hero, the Owner may take up to 2 Exploration tokens of their choice from the Enemy.</t>
  </si>
  <si>
    <t>When a Close Owner attacks an Enemy Hero, the Owner may take up to 3 Exploration tokens of their choice from the Enemy.</t>
  </si>
  <si>
    <t>Wilhelm</t>
  </si>
  <si>
    <t>Screaming Goat Pet</t>
  </si>
  <si>
    <t>Baaah!</t>
  </si>
  <si>
    <t>Exhaust Wilhelm's Pet card to Daze 1 Enemy in Wilhem's Space.</t>
  </si>
  <si>
    <t>Exhaust Wilhelm's Pet card to Daze 2 Enemies in Wilhem's Space.</t>
  </si>
  <si>
    <t>Exhaust Wilhelm's Pet card to Daze all Enemies in Wilhem's Space.</t>
  </si>
  <si>
    <t>Kangaroo Pet</t>
  </si>
  <si>
    <t>Pouch</t>
  </si>
  <si>
    <t>Joey's inventory can store Attack cards. Close Owners may use Joey's stored Attack cards as if the cards were in their inventory.</t>
  </si>
  <si>
    <t>Phoenix Pet</t>
  </si>
  <si>
    <t>Rise Again!</t>
  </si>
  <si>
    <t>When a Close Owner dies, you may kill Dawn to immediately Resurrect the Owner back where he was, fully healed and unexhausted.</t>
  </si>
  <si>
    <t>Unique Items by Type and Level</t>
  </si>
  <si>
    <t>Total Card Count</t>
  </si>
  <si>
    <t>Unique Count</t>
  </si>
  <si>
    <t>Unique Items by Type and Level (Boosts, Pet/Mount Items Removed)</t>
  </si>
  <si>
    <t>Unique Boost &amp; Pet/Mount Cards by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</si>
</sst>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9C6500"/>
      <name val="Calibri"/>
      <family val="2"/>
      <scheme val="minor"/>
    </font>
    <font>
      <sz val="11"/>
      <color theme="1"/>
      <name val="Calibri"/>
      <family val="2"/>
      <scheme val="minor"/>
    </font>
  </fonts>
  <fills count="6">
    <fill>
      <patternFill patternType="none"/>
    </fill>
    <fill>
      <patternFill patternType="gray125"/>
    </fill>
    <fill>
      <patternFill patternType="solid">
        <fgColor theme="8"/>
      </patternFill>
    </fill>
    <fill>
      <patternFill patternType="solid">
        <fgColor theme="4"/>
        <bgColor theme="4"/>
      </patternFill>
    </fill>
    <fill>
      <patternFill patternType="solid">
        <fgColor rgb="FFFFEB9C"/>
      </patternFill>
    </fill>
    <fill>
      <patternFill patternType="solid">
        <fgColor theme="8" tint="0.39997558519241921"/>
        <bgColor indexed="65"/>
      </patternFill>
    </fill>
  </fills>
  <borders count="2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4">
    <xf numFmtId="0" fontId="0" fillId="0" borderId="0"/>
    <xf numFmtId="0" fontId="1" fillId="2" borderId="0" applyNumberFormat="0" applyBorder="0" applyAlignment="0" applyProtection="0"/>
    <xf numFmtId="0" fontId="6" fillId="4" borderId="0" applyNumberFormat="0" applyBorder="0" applyAlignment="0" applyProtection="0"/>
    <xf numFmtId="0" fontId="7" fillId="5" borderId="0" applyNumberFormat="0" applyBorder="0" applyAlignment="0" applyProtection="0"/>
  </cellStyleXfs>
  <cellXfs count="74">
    <xf numFmtId="0" fontId="0" fillId="0" borderId="0" xfId="0"/>
    <xf numFmtId="0" fontId="0" fillId="0" borderId="0" xfId="0" applyAlignment="1">
      <alignment horizontal="center"/>
    </xf>
    <xf numFmtId="0" fontId="0" fillId="0" borderId="0" xfId="0" quotePrefix="1"/>
    <xf numFmtId="0" fontId="0" fillId="0" borderId="0" xfId="0"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wrapText="1"/>
    </xf>
    <xf numFmtId="49" fontId="3" fillId="0" borderId="0" xfId="0" applyNumberFormat="1" applyFont="1" applyAlignment="1">
      <alignment horizontal="left" vertical="center" wrapText="1"/>
    </xf>
    <xf numFmtId="49" fontId="0" fillId="0" borderId="0" xfId="0" applyNumberFormat="1"/>
    <xf numFmtId="0" fontId="3" fillId="0" borderId="0" xfId="0" applyFont="1" applyAlignment="1">
      <alignment horizontal="center" vertical="center" wrapText="1"/>
    </xf>
    <xf numFmtId="49" fontId="0" fillId="0" borderId="0" xfId="0" applyNumberFormat="1" applyAlignment="1">
      <alignment horizontal="right"/>
    </xf>
    <xf numFmtId="0" fontId="2" fillId="3" borderId="1" xfId="0" applyFont="1" applyFill="1" applyBorder="1"/>
    <xf numFmtId="49" fontId="0" fillId="0" borderId="0" xfId="0" applyNumberFormat="1" applyAlignment="1">
      <alignment horizontal="left"/>
    </xf>
    <xf numFmtId="49" fontId="2" fillId="3" borderId="2" xfId="0" applyNumberFormat="1"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0" xfId="0" applyFont="1" applyFill="1" applyAlignment="1">
      <alignment horizontal="left" vertical="center" wrapText="1"/>
    </xf>
    <xf numFmtId="0" fontId="4" fillId="0" borderId="0" xfId="0" applyFont="1"/>
    <xf numFmtId="49" fontId="2" fillId="3" borderId="3" xfId="0" applyNumberFormat="1" applyFont="1" applyFill="1" applyBorder="1" applyAlignment="1">
      <alignment horizontal="left"/>
    </xf>
    <xf numFmtId="0" fontId="2" fillId="3" borderId="4" xfId="0" applyFont="1" applyFill="1" applyBorder="1" applyAlignment="1">
      <alignment horizontal="left"/>
    </xf>
    <xf numFmtId="0" fontId="2" fillId="3" borderId="5" xfId="0" applyFont="1" applyFill="1" applyBorder="1" applyAlignment="1">
      <alignment horizontal="left"/>
    </xf>
    <xf numFmtId="0" fontId="0" fillId="0" borderId="0" xfId="0" applyAlignment="1">
      <alignment vertical="top"/>
    </xf>
    <xf numFmtId="49" fontId="0" fillId="0" borderId="0" xfId="0" applyNumberFormat="1" applyAlignment="1">
      <alignmen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wrapText="1"/>
    </xf>
    <xf numFmtId="0" fontId="0" fillId="0" borderId="0" xfId="0" quotePrefix="1" applyAlignment="1">
      <alignmen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49" fontId="0" fillId="0" borderId="0" xfId="0" applyNumberFormat="1" applyAlignment="1">
      <alignment vertical="top"/>
    </xf>
    <xf numFmtId="0" fontId="4" fillId="0" borderId="0" xfId="0" applyFont="1" applyAlignment="1">
      <alignment vertical="top"/>
    </xf>
    <xf numFmtId="49" fontId="4" fillId="0" borderId="0" xfId="0" applyNumberFormat="1"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0" fillId="0" borderId="0" xfId="0" applyAlignment="1">
      <alignment wrapText="1"/>
    </xf>
    <xf numFmtId="0" fontId="0" fillId="0" borderId="0" xfId="0" applyAlignment="1">
      <alignment horizontal="left" wrapText="1"/>
    </xf>
    <xf numFmtId="49" fontId="0" fillId="0" borderId="0" xfId="0" applyNumberFormat="1" applyAlignment="1">
      <alignment horizontal="right" vertical="top"/>
    </xf>
    <xf numFmtId="0" fontId="0" fillId="0" borderId="0" xfId="0" applyAlignment="1">
      <alignment horizontal="left" vertical="top"/>
    </xf>
    <xf numFmtId="49" fontId="0" fillId="0" borderId="0" xfId="0" quotePrefix="1" applyNumberFormat="1" applyAlignment="1">
      <alignment horizontal="right" vertical="top"/>
    </xf>
    <xf numFmtId="0" fontId="5" fillId="0" borderId="0" xfId="0" applyFont="1" applyAlignment="1">
      <alignment vertical="top" wrapText="1"/>
    </xf>
    <xf numFmtId="0" fontId="2" fillId="2" borderId="0" xfId="1" applyFont="1"/>
    <xf numFmtId="0" fontId="6" fillId="4" borderId="0" xfId="2" applyAlignment="1">
      <alignment vertical="top" wrapText="1"/>
    </xf>
    <xf numFmtId="0" fontId="6" fillId="4" borderId="0" xfId="2"/>
    <xf numFmtId="0" fontId="3" fillId="0" borderId="0" xfId="0" applyFont="1" applyAlignment="1">
      <alignment horizontal="center" wrapText="1"/>
    </xf>
    <xf numFmtId="0" fontId="3" fillId="0" borderId="0" xfId="0" applyFont="1" applyAlignment="1">
      <alignment horizontal="left" wrapText="1"/>
    </xf>
    <xf numFmtId="0" fontId="0" fillId="0" borderId="0" xfId="0" applyAlignment="1">
      <alignment horizontal="center" wrapText="1"/>
    </xf>
    <xf numFmtId="0" fontId="5" fillId="0" borderId="0" xfId="0" applyFont="1"/>
    <xf numFmtId="0" fontId="5" fillId="0" borderId="0" xfId="0" applyFont="1" applyAlignment="1">
      <alignment vertical="top"/>
    </xf>
    <xf numFmtId="0" fontId="0" fillId="0" borderId="6" xfId="0" pivotButton="1" applyBorder="1"/>
    <xf numFmtId="0" fontId="0" fillId="0" borderId="7" xfId="0" applyBorder="1"/>
    <xf numFmtId="0" fontId="0" fillId="0" borderId="8" xfId="0" applyBorder="1"/>
    <xf numFmtId="0" fontId="0" fillId="0" borderId="6" xfId="0" applyBorder="1"/>
    <xf numFmtId="0" fontId="0" fillId="0" borderId="9" xfId="0" applyBorder="1"/>
    <xf numFmtId="0" fontId="0" fillId="0" borderId="10" xfId="0" applyBorder="1"/>
    <xf numFmtId="0" fontId="0" fillId="0" borderId="11" xfId="0" applyBorder="1"/>
    <xf numFmtId="0" fontId="0" fillId="0" borderId="12" xfId="0" applyBorder="1"/>
    <xf numFmtId="0" fontId="3" fillId="0" borderId="0" xfId="0" applyFont="1"/>
    <xf numFmtId="0" fontId="0" fillId="0" borderId="16" xfId="0" applyBorder="1" applyAlignment="1">
      <alignment vertical="top" wrapText="1"/>
    </xf>
    <xf numFmtId="0" fontId="0" fillId="0" borderId="16" xfId="0" applyBorder="1" applyAlignment="1">
      <alignment horizontal="left" vertical="top" wrapText="1"/>
    </xf>
    <xf numFmtId="0" fontId="7" fillId="5" borderId="20" xfId="3" applyBorder="1"/>
    <xf numFmtId="0" fontId="7" fillId="5" borderId="21" xfId="3" applyBorder="1"/>
    <xf numFmtId="0" fontId="7" fillId="5" borderId="18" xfId="3" applyBorder="1"/>
    <xf numFmtId="0" fontId="2" fillId="2" borderId="13" xfId="1" applyFont="1" applyBorder="1" applyAlignment="1">
      <alignment horizontal="left" vertical="center" wrapText="1"/>
    </xf>
    <xf numFmtId="0" fontId="3" fillId="5" borderId="15" xfId="3" applyFont="1" applyBorder="1"/>
    <xf numFmtId="0" fontId="0" fillId="0" borderId="16" xfId="0" applyBorder="1"/>
    <xf numFmtId="0" fontId="3" fillId="5" borderId="19" xfId="3" applyFont="1" applyBorder="1"/>
    <xf numFmtId="0" fontId="5" fillId="0" borderId="0" xfId="0" applyFont="1" applyAlignment="1">
      <alignment horizontal="center" vertical="top" wrapText="1"/>
    </xf>
    <xf numFmtId="0" fontId="0" fillId="0" borderId="17" xfId="0" applyBorder="1" applyAlignment="1">
      <alignment horizontal="center"/>
    </xf>
    <xf numFmtId="0" fontId="2" fillId="2" borderId="14" xfId="1" applyFont="1" applyBorder="1" applyAlignment="1">
      <alignment horizontal="center"/>
    </xf>
    <xf numFmtId="0" fontId="3" fillId="5" borderId="15" xfId="3" applyFont="1" applyBorder="1" applyAlignment="1">
      <alignment horizontal="center"/>
    </xf>
    <xf numFmtId="0" fontId="7" fillId="5" borderId="20" xfId="3" applyBorder="1" applyAlignment="1">
      <alignment horizontal="center"/>
    </xf>
    <xf numFmtId="0" fontId="3" fillId="0" borderId="22" xfId="0" applyFont="1" applyBorder="1"/>
    <xf numFmtId="0" fontId="2" fillId="2" borderId="0" xfId="1" applyFont="1" applyAlignment="1">
      <alignment horizontal="center"/>
    </xf>
  </cellXfs>
  <cellStyles count="4">
    <cellStyle name="60% - Accent5" xfId="3" builtinId="48"/>
    <cellStyle name="Accent5" xfId="1" builtinId="45"/>
    <cellStyle name="Neutral" xfId="2" builtinId="28"/>
    <cellStyle name="Normal" xfId="0" builtinId="0"/>
  </cellStyles>
  <dxfs count="78">
    <dxf>
      <font>
        <color theme="0"/>
      </font>
    </dxf>
    <dxf>
      <font>
        <color theme="0"/>
      </font>
    </dxf>
    <dxf>
      <font>
        <color theme="0"/>
      </font>
    </dxf>
    <dxf>
      <font>
        <color theme="0"/>
      </font>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top style="thin">
          <color theme="4" tint="0.39997558519241921"/>
        </top>
      </border>
    </dxf>
    <dxf>
      <alignment horizontal="general" vertical="top"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vertical="bottom" textRotation="0" wrapText="0" indent="0" justifyLastLine="0" shrinkToFit="0" readingOrder="0"/>
      <border diagonalUp="0" diagonalDown="0" outline="0">
        <left style="thin">
          <color theme="4" tint="0.39997558519241921"/>
        </left>
        <right style="thin">
          <color theme="4" tint="0.39997558519241921"/>
        </right>
        <top/>
        <bottom/>
      </border>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vertical="top" textRotation="0" wrapText="1" indent="0" justifyLastLine="0" shrinkToFit="0" readingOrder="0"/>
    </dxf>
    <dxf>
      <alignment horizontal="left"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right"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left"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vertical="center"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numFmt numFmtId="30" formatCode="@"/>
      <alignment horizontal="center" vertical="top" textRotation="0" wrapText="1" indent="0" justifyLastLine="0" shrinkToFit="0" readingOrder="0"/>
    </dxf>
    <dxf>
      <numFmt numFmtId="30" formatCode="@"/>
      <alignment horizontal="center" vertical="top" textRotation="0" wrapText="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an Penrose" refreshedDate="43357.621200810187" createdVersion="1" refreshedVersion="5" recordCount="308" upgradeOnRefresh="1" xr:uid="{00000000-000A-0000-FFFF-FFFF00000000}">
  <cacheSource type="worksheet">
    <worksheetSource name="Upgrades"/>
  </cacheSource>
  <cacheFields count="13">
    <cacheField name="Set" numFmtId="0">
      <sharedItems count="11">
        <s v="Arcadia Quest"/>
        <s v="Beyond the Grave"/>
        <s v="Chaos Dragon"/>
        <s v="Fire Dragon"/>
        <s v="Frost Dragon"/>
        <s v="Inferno"/>
        <s v="Pets"/>
        <s v="Poison Dragon"/>
        <s v="Riders"/>
        <s v="Whole Lotta Lava"/>
        <s v="2016 CMON Expo"/>
      </sharedItems>
    </cacheField>
    <cacheField name="Number" numFmtId="0">
      <sharedItems containsBlank="1" count="305">
        <s v="1-01"/>
        <s v="1-02"/>
        <s v="1-03"/>
        <s v="1-04"/>
        <s v="1-05"/>
        <s v="1-06"/>
        <s v="1-07"/>
        <s v="1-08"/>
        <s v="1-09"/>
        <s v="1-10"/>
        <s v="1-11"/>
        <s v="2-01"/>
        <s v="2-02"/>
        <s v="2-03"/>
        <s v="2-04"/>
        <s v="2-05"/>
        <s v="2-06"/>
        <s v="2-07"/>
        <s v="2-08"/>
        <s v="2-09"/>
        <s v="2-10"/>
        <s v="2-11"/>
        <s v="2-12"/>
        <s v="2-13"/>
        <s v="2-14"/>
        <s v="3-01"/>
        <s v="3-02"/>
        <s v="3-03"/>
        <s v="3-04"/>
        <s v="3-05"/>
        <s v="3-06"/>
        <s v="3-07"/>
        <s v="3-08"/>
        <s v="3-09"/>
        <s v="3-10"/>
        <s v="3-11"/>
        <s v="3-12"/>
        <s v="3-13"/>
        <s v="3-14"/>
        <s v="3-15"/>
        <s v="4-01"/>
        <s v="4-02"/>
        <s v="4-03"/>
        <s v="4-04"/>
        <s v="4-05"/>
        <s v="4-06"/>
        <s v="4-07"/>
        <s v="4-08"/>
        <s v="4-09"/>
        <s v="4-10"/>
        <s v="4-11"/>
        <s v="4-12"/>
        <s v="4-13"/>
        <s v="4-14"/>
        <s v="5-01"/>
        <s v="5-02"/>
        <s v="5-03"/>
        <s v="5-04"/>
        <s v="5-05"/>
        <s v="5-06"/>
        <s v="5-07"/>
        <s v="5-08"/>
        <s v="5-09"/>
        <s v="5-10"/>
        <s v="5-11"/>
        <s v="5-12"/>
        <s v="5-13"/>
        <s v="5-14"/>
        <s v="5-15"/>
        <s v="5-16"/>
        <s v="R-AD"/>
        <s v="R-BA"/>
        <s v="R-DH"/>
        <s v="R-ED"/>
        <s v="R-MG"/>
        <s v="R-OH"/>
        <s v="R-RD"/>
        <s v="R-S1"/>
        <s v="R-S2"/>
        <s v="R-TM"/>
        <s v="R-TR"/>
        <s v="R-UP"/>
        <s v="S-01"/>
        <s v="S-02"/>
        <s v="S-03"/>
        <s v="S-04"/>
        <s v="S-05"/>
        <s v="BG1-01"/>
        <s v="BG1-02"/>
        <s v="BG1-03"/>
        <s v="BG2-01"/>
        <s v="BG2-02"/>
        <s v="BG2-03"/>
        <s v="BG2-04"/>
        <s v="BG3-01"/>
        <s v="BG3-02"/>
        <s v="BG3-03"/>
        <s v="BG4-01"/>
        <s v="BG4-02"/>
        <s v="BG4-03"/>
        <s v="BG4-04"/>
        <s v="BG4-05"/>
        <s v="BG5-01"/>
        <s v="BG5-02"/>
        <s v="BG5-03"/>
        <s v="BG5-04"/>
        <s v="BGE-HB"/>
        <s v="BGR-BD"/>
        <s v="BGR-BS"/>
        <s v="BGR-CR"/>
        <s v="BGR-MS"/>
        <s v="BGR-SH"/>
        <s v="BGR-SL"/>
        <s v="BGR-TG"/>
        <s v="BGS-01"/>
        <s v="CHD6-01"/>
        <s v="CHD6-02"/>
        <s v="CHD6-03"/>
        <s v="CHD6-04"/>
        <s v="CHD6-05"/>
        <s v="CHD6-06"/>
        <s v="CHD6-07"/>
        <s v="CHD6-08"/>
        <s v="CHD6-09"/>
        <s v="CHD6-10"/>
        <s v="CHD6-11"/>
        <s v="CHD6-12"/>
        <s v="CHD6-13"/>
        <s v="CHD6-14"/>
        <s v="CHDR-01"/>
        <s v="CHDR-02"/>
        <m/>
        <s v="FID6-01"/>
        <s v="FID6-02"/>
        <s v="FID6-03"/>
        <s v="FID6-04"/>
        <s v="FID6-05"/>
        <s v="FID6-06"/>
        <s v="FID6-07"/>
        <s v="FID6-08"/>
        <s v="FID6-09"/>
        <s v="FID6-10"/>
        <s v="FID6-11"/>
        <s v="FID6-12"/>
        <s v="FID6-13"/>
        <s v="FID6-14"/>
        <s v="FID6-15"/>
        <s v="FIDR-01"/>
        <s v="FIDR-02"/>
        <s v="FD6-01"/>
        <s v="FD6-02"/>
        <s v="FD6-03"/>
        <s v="FD6-04"/>
        <s v="FD6-05"/>
        <s v="FD6-06"/>
        <s v="FD6-07"/>
        <s v="FD6-08"/>
        <s v="FD6-09"/>
        <s v="FD6-10"/>
        <s v="FD6-11"/>
        <s v="FD6-12"/>
        <s v="FD6-13"/>
        <s v="FD6-14"/>
        <s v="FD6-15"/>
        <s v="FDR-01"/>
        <s v="FDR-02"/>
        <s v="INF1-01"/>
        <s v="INF1-02"/>
        <s v="INF1-03"/>
        <s v="INF1-04"/>
        <s v="INF1-05"/>
        <s v="INF1-06"/>
        <s v="INF1-07"/>
        <s v="INF1-08"/>
        <s v="INF1-09"/>
        <s v="INF1-10"/>
        <s v="INF1-11"/>
        <s v="INF1-12"/>
        <s v="INF1-13"/>
        <s v="INF1-14"/>
        <s v="INF2-01"/>
        <s v="INF2-02"/>
        <s v="INF2-03"/>
        <s v="INF2-04"/>
        <s v="INF2-05"/>
        <s v="INF2-06"/>
        <s v="INF2-07"/>
        <s v="INF2-08"/>
        <s v="INF2-09"/>
        <s v="INF2-10"/>
        <s v="INF2-11"/>
        <s v="INF2-12"/>
        <s v="INF2-13"/>
        <s v="INF2-14"/>
        <s v="INF3-01"/>
        <s v="INF3-02"/>
        <s v="INF3-03"/>
        <s v="INF3-04"/>
        <s v="INF3-05"/>
        <s v="INF3-06"/>
        <s v="INF3-07"/>
        <s v="INF3-08"/>
        <s v="INF3-09"/>
        <s v="INF3-10"/>
        <s v="INF3-11"/>
        <s v="INF3-12"/>
        <s v="INF3-13"/>
        <s v="INF3-14"/>
        <s v="INF3-15"/>
        <s v="INF4-01"/>
        <s v="INF4-02"/>
        <s v="INF4-03"/>
        <s v="INF4-04"/>
        <s v="INF4-05"/>
        <s v="INF4-06"/>
        <s v="INF4-07"/>
        <s v="INF4-08"/>
        <s v="INF4-09"/>
        <s v="INF4-10"/>
        <s v="INF4-11"/>
        <s v="INF4-12"/>
        <s v="INF4-13"/>
        <s v="INF4-14"/>
        <s v="INF4-15"/>
        <s v="INF4-16"/>
        <s v="INF4-17"/>
        <s v="INF4-18"/>
        <s v="INF5-01"/>
        <s v="INF5-02"/>
        <s v="INF5-03"/>
        <s v="INF5-04"/>
        <s v="INF5-05"/>
        <s v="INF5-06"/>
        <s v="INF5-07"/>
        <s v="INF5-08"/>
        <s v="INF5-09"/>
        <s v="INF5-10"/>
        <s v="INF5-11"/>
        <s v="INF5-12"/>
        <s v="INF5-13"/>
        <s v="INF5-14"/>
        <s v="INF5-15"/>
        <s v="INF5-16"/>
        <s v="INFR-BD"/>
        <s v="INFR-BGH"/>
        <s v="INFR-FT"/>
        <s v="INFR-LD"/>
        <s v="INFR-TF"/>
        <s v="INFR-WTS"/>
        <s v="INFS-01"/>
        <s v="INFS-02"/>
        <s v="INFS-03"/>
        <s v="INFS-04"/>
        <s v="INFS-05"/>
        <s v="PET1-01"/>
        <s v="PET2-01"/>
        <s v="PET3-01"/>
        <s v="PET4-01"/>
        <s v="PET5-01"/>
        <s v="PETR-CP"/>
        <s v="PETR-EMG"/>
        <s v="PETR-FDR"/>
        <s v="PETR-NW"/>
        <s v="PETR-TB"/>
        <s v="POD6-01"/>
        <s v="POD6-02"/>
        <s v="POD6-03"/>
        <s v="POD6-04"/>
        <s v="POD6-05"/>
        <s v="POD6-06"/>
        <s v="POD6-07"/>
        <s v="POD6-08"/>
        <s v="POD6-09"/>
        <s v="POD6-10"/>
        <s v="POD6-11"/>
        <s v="POD6-12"/>
        <s v="POD6-13"/>
        <s v="POD6-14"/>
        <s v="POD6-15"/>
        <s v="PODR-01"/>
        <s v="PODR-02"/>
        <s v="RID1-01"/>
        <s v="RID1-02"/>
        <s v="RID1-03"/>
        <s v="RID2-01"/>
        <s v="RID2-02"/>
        <s v="RID2-03"/>
        <s v="RID3-01"/>
        <s v="RID3-02"/>
        <s v="RID3-03"/>
        <s v="RID4-01"/>
        <s v="RID4-02"/>
        <s v="RID4-03"/>
        <s v="RID5-01"/>
        <s v="RID5-02"/>
        <s v="RID5-03"/>
        <s v="RIDR-AMSF"/>
        <s v="RIDR-DBRB"/>
        <s v="RIDR-DJ"/>
        <s v="RIDR-GA"/>
        <s v="RIDR-HCSG"/>
        <s v="RIDS-01"/>
        <s v="WLLR-01"/>
        <s v="WLLR-02"/>
        <s v="PRS-01"/>
      </sharedItems>
    </cacheField>
    <cacheField name="QTY" numFmtId="0">
      <sharedItems containsSemiMixedTypes="0" containsString="0" containsNumber="1" containsInteger="1" minValue="1" maxValue="5"/>
    </cacheField>
    <cacheField name="Level" numFmtId="0">
      <sharedItems containsMixedTypes="1" containsNumber="1" containsInteger="1" minValue="1" maxValue="6" count="9">
        <n v="1"/>
        <n v="2"/>
        <n v="3"/>
        <n v="4"/>
        <n v="5"/>
        <s v="Reward"/>
        <s v="Starting"/>
        <n v="6"/>
        <s v="Dragon Power"/>
      </sharedItems>
    </cacheField>
    <cacheField name="Name" numFmtId="0">
      <sharedItems/>
    </cacheField>
    <cacheField name="Price" numFmtId="0">
      <sharedItems containsString="0" containsBlank="1" containsNumber="1" containsInteger="1" minValue="0" maxValue="9"/>
    </cacheField>
    <cacheField name="Class" numFmtId="0">
      <sharedItems/>
    </cacheField>
    <cacheField name="Type" numFmtId="0">
      <sharedItems count="18">
        <s v="Sword"/>
        <s v="Axe"/>
        <s v="Hammer"/>
        <s v="Bow"/>
        <s v="Magic"/>
        <s v="Bling"/>
        <s v="Armor"/>
        <s v="Ability"/>
        <s v="Gear"/>
        <s v="Shield"/>
        <s v="Thrown Weapon"/>
        <s v="Lance"/>
        <s v="Exotic"/>
        <s v="Sword - Dragon"/>
        <s v="Gear - Dragon"/>
        <s v="Bow - Dragon"/>
        <s v="Armor - Dragon"/>
        <s v="Lance - Dragon"/>
      </sharedItems>
    </cacheField>
    <cacheField name="ATK" numFmtId="0">
      <sharedItems containsString="0" containsBlank="1" containsNumber="1" containsInteger="1" minValue="1" maxValue="7"/>
    </cacheField>
    <cacheField name="DEF" numFmtId="0">
      <sharedItems containsBlank="1" containsMixedTypes="1" containsNumber="1" containsInteger="1" minValue="1" maxValue="6"/>
    </cacheField>
    <cacheField name="HP" numFmtId="0">
      <sharedItems containsString="0" containsBlank="1" containsNumber="1" containsInteger="1" minValue="1" maxValue="5"/>
    </cacheField>
    <cacheField name="Reroll" numFmtId="0">
      <sharedItems containsBlank="1" containsMixedTypes="1" containsNumber="1" containsInteger="1" minValue="1" maxValue="4"/>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8">
  <r>
    <x v="0"/>
    <x v="0"/>
    <n v="3"/>
    <x v="0"/>
    <s v="Trusty Blade"/>
    <n v="1"/>
    <s v="Melee Attack"/>
    <x v="0"/>
    <n v="3"/>
    <n v="1"/>
    <m/>
    <n v="1"/>
    <m/>
  </r>
  <r>
    <x v="0"/>
    <x v="1"/>
    <n v="2"/>
    <x v="0"/>
    <s v="Bleeder"/>
    <n v="2"/>
    <s v="Melee Attack"/>
    <x v="1"/>
    <n v="3"/>
    <m/>
    <m/>
    <m/>
    <s v="Each Crit deals one additional hit."/>
  </r>
  <r>
    <x v="0"/>
    <x v="2"/>
    <n v="1"/>
    <x v="0"/>
    <s v="Orc Beater"/>
    <n v="8"/>
    <s v="Melee Attack"/>
    <x v="2"/>
    <n v="4"/>
    <m/>
    <m/>
    <m/>
    <s v="Rolls +1 die against Orcs and Goblins."/>
  </r>
  <r>
    <x v="0"/>
    <x v="3"/>
    <n v="3"/>
    <x v="0"/>
    <s v="Crescent Bow"/>
    <n v="3"/>
    <s v="Ranged Attack"/>
    <x v="3"/>
    <n v="3"/>
    <m/>
    <m/>
    <m/>
    <m/>
  </r>
  <r>
    <x v="0"/>
    <x v="4"/>
    <n v="2"/>
    <x v="0"/>
    <s v="Wind Blast"/>
    <n v="4"/>
    <s v="Ranged Attack"/>
    <x v="4"/>
    <n v="3"/>
    <m/>
    <m/>
    <m/>
    <s v="If this rolls any hits, move the target up to 3 spaces (this Move doesn't trigger Guard Reaction)."/>
  </r>
  <r>
    <x v="0"/>
    <x v="5"/>
    <n v="2"/>
    <x v="0"/>
    <s v="Sun Ring"/>
    <n v="0"/>
    <s v="Permanent"/>
    <x v="5"/>
    <m/>
    <m/>
    <m/>
    <n v="1"/>
    <m/>
  </r>
  <r>
    <x v="0"/>
    <x v="6"/>
    <n v="2"/>
    <x v="0"/>
    <s v="Moon Ring"/>
    <n v="4"/>
    <s v="Boost"/>
    <x v="5"/>
    <m/>
    <m/>
    <m/>
    <m/>
    <s v="+1 die to one Attack Card."/>
  </r>
  <r>
    <x v="0"/>
    <x v="7"/>
    <n v="2"/>
    <x v="0"/>
    <s v="Orc Pelt"/>
    <n v="5"/>
    <s v="Permanent"/>
    <x v="6"/>
    <m/>
    <n v="2"/>
    <m/>
    <m/>
    <s v="Limit 1 armor per Hero."/>
  </r>
  <r>
    <x v="0"/>
    <x v="8"/>
    <n v="2"/>
    <x v="0"/>
    <s v="Grrrrrrrrr!"/>
    <n v="7"/>
    <s v="Permanent"/>
    <x v="7"/>
    <m/>
    <m/>
    <m/>
    <m/>
    <s v="Once per attack, you may take 1 Wound to add +1 die."/>
  </r>
  <r>
    <x v="0"/>
    <x v="9"/>
    <n v="2"/>
    <x v="0"/>
    <s v="Cleave"/>
    <n v="5"/>
    <s v="Permanent"/>
    <x v="7"/>
    <m/>
    <m/>
    <m/>
    <m/>
    <s v="Your Sword and Axe attacks may target an additional Enemy Close to this Hero."/>
  </r>
  <r>
    <x v="0"/>
    <x v="10"/>
    <n v="2"/>
    <x v="0"/>
    <s v="Das Boot"/>
    <n v="0"/>
    <s v="Permanent"/>
    <x v="8"/>
    <m/>
    <m/>
    <m/>
    <m/>
    <s v="When you activate a different Hero, you may move this Hero 1 Space."/>
  </r>
  <r>
    <x v="0"/>
    <x v="11"/>
    <n v="2"/>
    <x v="1"/>
    <s v="Smashface"/>
    <n v="1"/>
    <s v="Melee Attack"/>
    <x v="2"/>
    <n v="4"/>
    <m/>
    <m/>
    <m/>
    <s v="If this deals any Wounds, your target is Dazed."/>
  </r>
  <r>
    <x v="0"/>
    <x v="12"/>
    <n v="2"/>
    <x v="1"/>
    <s v="Quickshot"/>
    <n v="4"/>
    <s v="Ranged Attack"/>
    <x v="3"/>
    <n v="3"/>
    <m/>
    <m/>
    <m/>
    <s v="Only Crit on the Defense roll score saves against this attack."/>
  </r>
  <r>
    <x v="0"/>
    <x v="13"/>
    <n v="2"/>
    <x v="1"/>
    <s v="Life Drain II"/>
    <n v="3"/>
    <s v="Ranged Attack"/>
    <x v="4"/>
    <n v="3"/>
    <m/>
    <m/>
    <m/>
    <s v="Each hit heals 1 Wound from this Hero and one Close Ally."/>
  </r>
  <r>
    <x v="0"/>
    <x v="14"/>
    <n v="3"/>
    <x v="1"/>
    <s v="Decimator"/>
    <n v="2"/>
    <s v="Melee Attack"/>
    <x v="1"/>
    <n v="4"/>
    <m/>
    <m/>
    <m/>
    <s v="Each Crit deals one additional hit."/>
  </r>
  <r>
    <x v="0"/>
    <x v="15"/>
    <n v="2"/>
    <x v="1"/>
    <s v="Hate"/>
    <n v="4"/>
    <s v="Ranged Attack"/>
    <x v="4"/>
    <n v="3"/>
    <m/>
    <m/>
    <m/>
    <s v="If this rolls any Crit against a Hero, exhaust all of his cards, unless he takes 2 extra Wounds."/>
  </r>
  <r>
    <x v="0"/>
    <x v="16"/>
    <n v="2"/>
    <x v="1"/>
    <s v="Knight's Plate"/>
    <n v="6"/>
    <s v="Permanent"/>
    <x v="6"/>
    <m/>
    <n v="2"/>
    <n v="1"/>
    <m/>
    <s v="Limit 1 armor per Hero."/>
  </r>
  <r>
    <x v="0"/>
    <x v="17"/>
    <n v="1"/>
    <x v="1"/>
    <s v="Knight's Shield"/>
    <n v="1"/>
    <s v="Permanent"/>
    <x v="9"/>
    <m/>
    <n v="1"/>
    <m/>
    <m/>
    <s v="May exhaust your Hero card to force an attack made against you to be rolled again."/>
  </r>
  <r>
    <x v="0"/>
    <x v="18"/>
    <n v="1"/>
    <x v="1"/>
    <s v="Amulet of Retribution"/>
    <n v="8"/>
    <s v="Permanent"/>
    <x v="5"/>
    <m/>
    <m/>
    <m/>
    <m/>
    <s v="Each hit cancelled by this Hero's Defense roll deals 1 Wound to the attacker."/>
  </r>
  <r>
    <x v="0"/>
    <x v="19"/>
    <n v="2"/>
    <x v="1"/>
    <s v="Heart of the Unicorn"/>
    <n v="0"/>
    <s v="Permanent"/>
    <x v="5"/>
    <m/>
    <m/>
    <n v="2"/>
    <n v="1"/>
    <m/>
  </r>
  <r>
    <x v="0"/>
    <x v="20"/>
    <n v="2"/>
    <x v="1"/>
    <s v="Blazing Shot"/>
    <n v="4"/>
    <s v="Boost"/>
    <x v="8"/>
    <m/>
    <m/>
    <m/>
    <m/>
    <s v="+2 dice to a Bow attack. This Hero takes 1 Wound."/>
  </r>
  <r>
    <x v="0"/>
    <x v="21"/>
    <n v="1"/>
    <x v="1"/>
    <s v="Cloak of Displacement"/>
    <n v="1"/>
    <s v="Permanent"/>
    <x v="8"/>
    <m/>
    <m/>
    <m/>
    <m/>
    <s v="At the start of your turn, you may switch places between this Hero and an Ally (drop all Quest tokens)."/>
  </r>
  <r>
    <x v="0"/>
    <x v="22"/>
    <n v="1"/>
    <x v="1"/>
    <s v="Celerity Stick"/>
    <n v="6"/>
    <s v="Permanent"/>
    <x v="8"/>
    <m/>
    <m/>
    <m/>
    <m/>
    <s v="This Hero may take 1 Wound to unexhaust all of his cards."/>
  </r>
  <r>
    <x v="0"/>
    <x v="23"/>
    <n v="2"/>
    <x v="1"/>
    <s v="Crushing Gauntlet"/>
    <n v="3"/>
    <s v="Boost"/>
    <x v="8"/>
    <m/>
    <m/>
    <m/>
    <m/>
    <s v="+2 dice to a non-Magic Melee attack. This Hero takes 1 Wound."/>
  </r>
  <r>
    <x v="0"/>
    <x v="24"/>
    <n v="1"/>
    <x v="1"/>
    <s v="Crack of Dawn"/>
    <n v="9"/>
    <s v="Melee Attack"/>
    <x v="2"/>
    <n v="4"/>
    <m/>
    <m/>
    <m/>
    <s v="Rolls +1 die against Heroes."/>
  </r>
  <r>
    <x v="0"/>
    <x v="25"/>
    <n v="2"/>
    <x v="2"/>
    <s v="Night Fury"/>
    <n v="3"/>
    <s v="Melee Attack"/>
    <x v="0"/>
    <n v="4"/>
    <n v="2"/>
    <m/>
    <n v="2"/>
    <m/>
  </r>
  <r>
    <x v="0"/>
    <x v="26"/>
    <n v="2"/>
    <x v="2"/>
    <s v="Thorn"/>
    <n v="3"/>
    <s v="Ranged Attack"/>
    <x v="3"/>
    <n v="4"/>
    <m/>
    <m/>
    <m/>
    <m/>
  </r>
  <r>
    <x v="0"/>
    <x v="27"/>
    <n v="2"/>
    <x v="2"/>
    <s v="Brimstone"/>
    <n v="1"/>
    <s v="Melee Attack"/>
    <x v="2"/>
    <n v="4"/>
    <m/>
    <m/>
    <m/>
    <s v="If this deals any Wounds, your target and 1 additional Enemy Close to it are Dazed."/>
  </r>
  <r>
    <x v="0"/>
    <x v="28"/>
    <n v="1"/>
    <x v="2"/>
    <s v="Da Bomb"/>
    <n v="9"/>
    <s v="Ranged Attack"/>
    <x v="10"/>
    <n v="3"/>
    <m/>
    <m/>
    <m/>
    <s v="Limit 1 Bomb per Guild. If this rolls any hits, place 1 Guild token on each Close Space. Token explodes and attacks an enemy Hero who moves into that Space."/>
  </r>
  <r>
    <x v="0"/>
    <x v="29"/>
    <n v="2"/>
    <x v="2"/>
    <s v="Nova Bolt II"/>
    <n v="4"/>
    <s v="Ranged Attack"/>
    <x v="4"/>
    <n v="4"/>
    <m/>
    <m/>
    <m/>
    <s v="If this rolls any Crit, may target an additional Enemy Close to the target"/>
  </r>
  <r>
    <x v="0"/>
    <x v="30"/>
    <n v="1"/>
    <x v="2"/>
    <s v="Astral Strike"/>
    <n v="6"/>
    <s v="Melee Attack"/>
    <x v="4"/>
    <n v="3"/>
    <m/>
    <m/>
    <m/>
    <s v="Only targets any Enemy on the board that's Close to an Ally of yours. (May be used by a dead Hero. Does not trigger Payback Reaction.)"/>
  </r>
  <r>
    <x v="0"/>
    <x v="31"/>
    <n v="2"/>
    <x v="2"/>
    <s v="Wind Blast II"/>
    <n v="4"/>
    <s v="Ranged Attack"/>
    <x v="4"/>
    <n v="4"/>
    <m/>
    <m/>
    <m/>
    <s v="If this rolls any hits, move the target up to 3 spaces (this Move doesn't trigger Guard Reaction)."/>
  </r>
  <r>
    <x v="0"/>
    <x v="32"/>
    <n v="1"/>
    <x v="2"/>
    <s v="Die Booten"/>
    <n v="2"/>
    <s v="Permanent"/>
    <x v="8"/>
    <m/>
    <m/>
    <m/>
    <m/>
    <s v="When you activate a different Hero, you may move this Hero 2 Spaces."/>
  </r>
  <r>
    <x v="0"/>
    <x v="33"/>
    <n v="1"/>
    <x v="2"/>
    <s v="More Grrrrrrrrr!"/>
    <n v="4"/>
    <s v="Permanent"/>
    <x v="7"/>
    <m/>
    <m/>
    <m/>
    <m/>
    <s v="Once per attack, you may take 2 Wounds to add +2 die."/>
  </r>
  <r>
    <x v="0"/>
    <x v="34"/>
    <n v="1"/>
    <x v="2"/>
    <s v="Heart of the Gryphon"/>
    <n v="0"/>
    <s v="Permanent"/>
    <x v="5"/>
    <m/>
    <m/>
    <n v="3"/>
    <m/>
    <m/>
  </r>
  <r>
    <x v="0"/>
    <x v="35"/>
    <n v="1"/>
    <x v="2"/>
    <s v="Genesis Glass"/>
    <n v="8"/>
    <s v="Permanent"/>
    <x v="5"/>
    <m/>
    <m/>
    <m/>
    <m/>
    <s v="At the start of your turn, this Hero heals 1 Wound."/>
  </r>
  <r>
    <x v="0"/>
    <x v="36"/>
    <n v="2"/>
    <x v="2"/>
    <s v="Lord's Plate"/>
    <n v="6"/>
    <s v="Permanent"/>
    <x v="6"/>
    <m/>
    <n v="4"/>
    <n v="1"/>
    <m/>
    <s v="Limit 1 armor per Hero."/>
  </r>
  <r>
    <x v="0"/>
    <x v="37"/>
    <n v="2"/>
    <x v="2"/>
    <s v="Sun Ring II"/>
    <n v="0"/>
    <s v="Permanent"/>
    <x v="5"/>
    <m/>
    <m/>
    <m/>
    <n v="3"/>
    <m/>
  </r>
  <r>
    <x v="0"/>
    <x v="38"/>
    <n v="2"/>
    <x v="2"/>
    <s v="Battle Cry"/>
    <n v="4"/>
    <s v="Permanent"/>
    <x v="7"/>
    <m/>
    <m/>
    <m/>
    <m/>
    <s v="If your attack rolls any Crit, you may activate another allied Hero this turn."/>
  </r>
  <r>
    <x v="0"/>
    <x v="39"/>
    <n v="2"/>
    <x v="2"/>
    <s v="Wand of Haste"/>
    <n v="3"/>
    <s v="Boost"/>
    <x v="8"/>
    <m/>
    <m/>
    <m/>
    <m/>
    <s v="+1 die to a Magic attack. Do not exhaust the boosted Magic attack card."/>
  </r>
  <r>
    <x v="0"/>
    <x v="40"/>
    <n v="2"/>
    <x v="3"/>
    <s v="Frostbite"/>
    <n v="2"/>
    <s v="Melee Attack"/>
    <x v="0"/>
    <n v="4"/>
    <n v="1"/>
    <m/>
    <n v="1"/>
    <s v="+2 dice against Heroes with any exhausted cards."/>
  </r>
  <r>
    <x v="0"/>
    <x v="41"/>
    <n v="2"/>
    <x v="3"/>
    <s v="Twinbolt"/>
    <n v="4"/>
    <s v="Ranged Attack"/>
    <x v="3"/>
    <n v="4"/>
    <m/>
    <m/>
    <m/>
    <s v="Only Crit on the Defense roll score saves against this attack"/>
  </r>
  <r>
    <x v="0"/>
    <x v="42"/>
    <n v="2"/>
    <x v="3"/>
    <s v="Burninate"/>
    <n v="6"/>
    <s v="Ranged Attack"/>
    <x v="4"/>
    <n v="4"/>
    <m/>
    <m/>
    <m/>
    <s v="May also target any number of enemies Close to the target."/>
  </r>
  <r>
    <x v="0"/>
    <x v="43"/>
    <n v="2"/>
    <x v="3"/>
    <s v="Bloodthirst"/>
    <n v="4"/>
    <s v="Melee Attack"/>
    <x v="1"/>
    <n v="5"/>
    <m/>
    <m/>
    <m/>
    <s v="Each Crit deals 2 additional hits."/>
  </r>
  <r>
    <x v="0"/>
    <x v="44"/>
    <n v="2"/>
    <x v="3"/>
    <s v="Hate II"/>
    <n v="4"/>
    <s v="Ranged Attack"/>
    <x v="4"/>
    <n v="5"/>
    <m/>
    <m/>
    <m/>
    <s v="If this rolls any Crit against a Hero, exhaust all of his cards, unless he takes 2 extra Wounds."/>
  </r>
  <r>
    <x v="0"/>
    <x v="45"/>
    <n v="1"/>
    <x v="3"/>
    <s v="Death Swarm"/>
    <n v="8"/>
    <s v="Ranged Attack"/>
    <x v="4"/>
    <n v="5"/>
    <m/>
    <m/>
    <m/>
    <s v="If this rolls any Crit, take 2 monsters from the Spawn tile and place them anywhere on the board."/>
  </r>
  <r>
    <x v="0"/>
    <x v="46"/>
    <n v="2"/>
    <x v="3"/>
    <s v="King's Plate"/>
    <n v="6"/>
    <s v="Permanent"/>
    <x v="6"/>
    <m/>
    <n v="4"/>
    <n v="2"/>
    <m/>
    <s v="Limit 1 armor per Hero."/>
  </r>
  <r>
    <x v="0"/>
    <x v="47"/>
    <n v="2"/>
    <x v="3"/>
    <s v="Moon Ring II"/>
    <n v="3"/>
    <s v="Boost"/>
    <x v="5"/>
    <m/>
    <m/>
    <m/>
    <m/>
    <s v="+2 dice to one Attack card."/>
  </r>
  <r>
    <x v="0"/>
    <x v="48"/>
    <n v="2"/>
    <x v="3"/>
    <s v="Life Drain III"/>
    <n v="4"/>
    <s v="Ranged Attack"/>
    <x v="4"/>
    <n v="5"/>
    <m/>
    <m/>
    <m/>
    <s v="Each hit heals 1 Wound from this Hero and all Close Allies."/>
  </r>
  <r>
    <x v="0"/>
    <x v="49"/>
    <n v="2"/>
    <x v="3"/>
    <s v="King's Shield"/>
    <n v="5"/>
    <s v="Permanent"/>
    <x v="9"/>
    <m/>
    <n v="2"/>
    <m/>
    <n v="2"/>
    <s v="May exhaust Hero to get +2 on a Defense roll."/>
  </r>
  <r>
    <x v="0"/>
    <x v="50"/>
    <n v="1"/>
    <x v="3"/>
    <s v="Book of the Dead"/>
    <n v="0"/>
    <s v="Permanent"/>
    <x v="8"/>
    <m/>
    <m/>
    <m/>
    <m/>
    <s v="When attacking, add +1 die per Death token in your Guild."/>
  </r>
  <r>
    <x v="0"/>
    <x v="51"/>
    <n v="1"/>
    <x v="3"/>
    <s v="Lifestealer"/>
    <n v="2"/>
    <s v="Boost"/>
    <x v="8"/>
    <m/>
    <m/>
    <m/>
    <m/>
    <s v="Each Wound dealt by the boosted Magic attack heals 1 Wound from this Hero."/>
  </r>
  <r>
    <x v="0"/>
    <x v="52"/>
    <n v="2"/>
    <x v="3"/>
    <s v="Heart of the Phoenix"/>
    <n v="0"/>
    <s v="Permanent"/>
    <x v="5"/>
    <m/>
    <m/>
    <n v="2"/>
    <n v="2"/>
    <m/>
  </r>
  <r>
    <x v="0"/>
    <x v="53"/>
    <n v="1"/>
    <x v="3"/>
    <s v="Cleave II"/>
    <n v="9"/>
    <s v="Permanent"/>
    <x v="7"/>
    <m/>
    <m/>
    <m/>
    <m/>
    <s v="Your Sword and Axe attacks may target all Enemies Close to this Hero"/>
  </r>
  <r>
    <x v="0"/>
    <x v="54"/>
    <n v="2"/>
    <x v="4"/>
    <s v="Emberstrike"/>
    <n v="4"/>
    <s v="Melee Attack"/>
    <x v="0"/>
    <n v="5"/>
    <n v="1"/>
    <m/>
    <n v="1"/>
    <s v="If this rolls any Crit, target cannot roll Defense."/>
  </r>
  <r>
    <x v="0"/>
    <x v="55"/>
    <n v="2"/>
    <x v="4"/>
    <s v="Trueshot"/>
    <n v="3"/>
    <s v="Ranged Attack"/>
    <x v="3"/>
    <n v="6"/>
    <m/>
    <m/>
    <m/>
    <m/>
  </r>
  <r>
    <x v="0"/>
    <x v="56"/>
    <n v="2"/>
    <x v="4"/>
    <s v="Bomb Appetit"/>
    <n v="9"/>
    <s v="Ranged Attack"/>
    <x v="10"/>
    <n v="5"/>
    <m/>
    <m/>
    <m/>
    <s v="Limit 1 Bomb per Guild. If this rolls any hits, place 1 Guild token on each Close Space. Token explodes and attacks an enemy Hero who moves into that Space."/>
  </r>
  <r>
    <x v="0"/>
    <x v="57"/>
    <n v="2"/>
    <x v="4"/>
    <s v="Ground Pounder"/>
    <n v="2"/>
    <s v="Melee Attack"/>
    <x v="2"/>
    <n v="5"/>
    <m/>
    <m/>
    <m/>
    <s v="If this deals a Wound, your target and all Enemies Close to it are Dazed."/>
  </r>
  <r>
    <x v="0"/>
    <x v="58"/>
    <n v="2"/>
    <x v="4"/>
    <s v="Astral Strike II"/>
    <n v="4"/>
    <s v="Melee Attack"/>
    <x v="4"/>
    <n v="5"/>
    <m/>
    <m/>
    <m/>
    <s v="Only targets any Enemy on the board that's Close to an Ally of yours. (May be used by a dead Hero. Does not trigger Payback Reaction.)"/>
  </r>
  <r>
    <x v="0"/>
    <x v="59"/>
    <n v="2"/>
    <x v="4"/>
    <s v="Burninate II"/>
    <n v="5"/>
    <s v="Ranged Attack"/>
    <x v="4"/>
    <n v="5"/>
    <m/>
    <m/>
    <m/>
    <s v="May also target any number of enemies Close to the target."/>
  </r>
  <r>
    <x v="0"/>
    <x v="60"/>
    <n v="2"/>
    <x v="4"/>
    <s v="Emperor's Plate"/>
    <n v="8"/>
    <s v="Permanent"/>
    <x v="6"/>
    <m/>
    <n v="6"/>
    <n v="4"/>
    <m/>
    <s v="Limit 1 armor per Hero."/>
  </r>
  <r>
    <x v="0"/>
    <x v="61"/>
    <n v="1"/>
    <x v="4"/>
    <s v="Moon Shield"/>
    <n v="3"/>
    <s v="Permanent"/>
    <x v="9"/>
    <m/>
    <m/>
    <m/>
    <m/>
    <s v="Double your total Defense dice."/>
  </r>
  <r>
    <x v="0"/>
    <x v="62"/>
    <n v="1"/>
    <x v="4"/>
    <s v="Last Stand"/>
    <n v="1"/>
    <s v="Permanent"/>
    <x v="5"/>
    <m/>
    <s v="X"/>
    <m/>
    <m/>
    <s v="X= Total Wounds on this Hero."/>
  </r>
  <r>
    <x v="0"/>
    <x v="63"/>
    <n v="1"/>
    <x v="4"/>
    <s v="Heart of the Dragon"/>
    <n v="2"/>
    <s v="Permanent"/>
    <x v="5"/>
    <m/>
    <m/>
    <n v="2"/>
    <m/>
    <s v="Each Crit on this Hero's Defense roll adds one extra save."/>
  </r>
  <r>
    <x v="0"/>
    <x v="64"/>
    <n v="1"/>
    <x v="4"/>
    <s v="Amulet of Rawr!"/>
    <n v="7"/>
    <s v="Permanent"/>
    <x v="5"/>
    <m/>
    <m/>
    <m/>
    <m/>
    <s v="+2 dice on Attack rolls."/>
  </r>
  <r>
    <x v="0"/>
    <x v="65"/>
    <n v="1"/>
    <x v="4"/>
    <s v="Soulseeker"/>
    <n v="0"/>
    <s v="Permanent"/>
    <x v="8"/>
    <m/>
    <m/>
    <m/>
    <m/>
    <s v="Each Crit on a Bow attack deals one extra hit."/>
  </r>
  <r>
    <x v="0"/>
    <x v="66"/>
    <n v="1"/>
    <x v="4"/>
    <s v="Apocalypse Crown"/>
    <n v="3"/>
    <s v="Permanent"/>
    <x v="5"/>
    <m/>
    <m/>
    <m/>
    <m/>
    <s v="At the start of your activation, you may deal 1 Wound to any Close Enemies."/>
  </r>
  <r>
    <x v="0"/>
    <x v="67"/>
    <n v="1"/>
    <x v="4"/>
    <s v="Ragestone"/>
    <n v="0"/>
    <s v="Boost"/>
    <x v="5"/>
    <m/>
    <m/>
    <m/>
    <m/>
    <s v="When attacking, add +1 die for each Wound on this Hero."/>
  </r>
  <r>
    <x v="0"/>
    <x v="68"/>
    <n v="2"/>
    <x v="4"/>
    <s v="Moon Ring III"/>
    <n v="4"/>
    <s v="Boost"/>
    <x v="5"/>
    <m/>
    <m/>
    <m/>
    <m/>
    <s v="+3 dice to one Attack card."/>
  </r>
  <r>
    <x v="0"/>
    <x v="69"/>
    <n v="1"/>
    <x v="4"/>
    <s v="Genesis Glass II"/>
    <n v="6"/>
    <s v="Permanent"/>
    <x v="5"/>
    <m/>
    <m/>
    <m/>
    <m/>
    <s v="At the start of your turn, this Hero heals 2 Wounds."/>
  </r>
  <r>
    <x v="0"/>
    <x v="70"/>
    <n v="2"/>
    <x v="5"/>
    <s v="Bomb"/>
    <m/>
    <s v="Ranged Attack"/>
    <x v="10"/>
    <n v="3"/>
    <m/>
    <m/>
    <m/>
    <s v="Limit 1 Bomb per Guild. If this rolls any hits, place 1 Guild token on each Close Space. Token explodes and attacks an enemy Hero who moves into that Space."/>
  </r>
  <r>
    <x v="0"/>
    <x v="71"/>
    <n v="2"/>
    <x v="5"/>
    <s v="Shield of Souls"/>
    <m/>
    <s v="Permanent"/>
    <x v="9"/>
    <m/>
    <n v="1"/>
    <m/>
    <m/>
    <s v="Exhaust this Hero to immediately Resurrect one Ally."/>
  </r>
  <r>
    <x v="0"/>
    <x v="72"/>
    <n v="2"/>
    <x v="5"/>
    <s v="Skullcracker"/>
    <m/>
    <s v="Melee Attack"/>
    <x v="2"/>
    <n v="3"/>
    <m/>
    <m/>
    <m/>
    <s v="If this deals a Wound, your target is Dazed. +1 die against Heroes."/>
  </r>
  <r>
    <x v="0"/>
    <x v="73"/>
    <n v="2"/>
    <x v="5"/>
    <s v="Assassin's Cloak"/>
    <m/>
    <s v="Permanent"/>
    <x v="8"/>
    <m/>
    <m/>
    <m/>
    <m/>
    <s v="When this Hero moves, deal 1 Wound to each Close Enemy (limit 1 Wound per Enemy per turn)."/>
  </r>
  <r>
    <x v="0"/>
    <x v="74"/>
    <n v="2"/>
    <x v="5"/>
    <s v="Captain's Blade"/>
    <m/>
    <s v="Melee Attack"/>
    <x v="0"/>
    <n v="4"/>
    <n v="1"/>
    <m/>
    <n v="1"/>
    <m/>
  </r>
  <r>
    <x v="0"/>
    <x v="75"/>
    <n v="2"/>
    <x v="5"/>
    <s v="Greenskin Bane"/>
    <m/>
    <s v="Ranged Attack"/>
    <x v="4"/>
    <n v="3"/>
    <m/>
    <m/>
    <m/>
    <s v="+1 die against Orcs and Goblins."/>
  </r>
  <r>
    <x v="0"/>
    <x v="76"/>
    <n v="1"/>
    <x v="5"/>
    <s v="Blood Crown"/>
    <m/>
    <s v="Permanent"/>
    <x v="5"/>
    <m/>
    <m/>
    <m/>
    <m/>
    <s v="Deal 2 Wounds to an Enemy that leaves a Space Close to this Hero (limit once per Enemy per turn)."/>
  </r>
  <r>
    <x v="0"/>
    <x v="77"/>
    <n v="1"/>
    <x v="5"/>
    <s v="Sack O' Bones"/>
    <m/>
    <s v="Permanent"/>
    <x v="8"/>
    <m/>
    <m/>
    <m/>
    <m/>
    <s v="Heal 2 Wounds whenever this Hero kills an Enemy."/>
  </r>
  <r>
    <x v="0"/>
    <x v="78"/>
    <n v="1"/>
    <x v="5"/>
    <s v="Schmetterling's Axe"/>
    <m/>
    <s v="Melee Attack"/>
    <x v="1"/>
    <n v="4"/>
    <m/>
    <m/>
    <m/>
    <s v="Each Crit deals one additional hit and heals 1 Wound from this Hero."/>
  </r>
  <r>
    <x v="0"/>
    <x v="79"/>
    <n v="2"/>
    <x v="5"/>
    <s v="Heart of Angelis"/>
    <m/>
    <s v="Permanent"/>
    <x v="5"/>
    <m/>
    <m/>
    <m/>
    <m/>
    <s v="Whenever this Hero suffers any Wounds, heal 1 Wound from all Allies."/>
  </r>
  <r>
    <x v="0"/>
    <x v="80"/>
    <n v="2"/>
    <x v="5"/>
    <s v="Beastman's Spear"/>
    <m/>
    <s v="Melee Attack"/>
    <x v="11"/>
    <n v="3"/>
    <m/>
    <m/>
    <m/>
    <s v="For this attack, the first diagonal Space counts as being Close."/>
  </r>
  <r>
    <x v="0"/>
    <x v="81"/>
    <n v="2"/>
    <x v="5"/>
    <s v="Tome of Enlightenment"/>
    <m/>
    <s v="Permanent"/>
    <x v="8"/>
    <m/>
    <m/>
    <m/>
    <n v="2"/>
    <s v="This Hero has 2 additional inventory slots for Magic Attack cards."/>
  </r>
  <r>
    <x v="0"/>
    <x v="82"/>
    <n v="4"/>
    <x v="6"/>
    <s v="Rusty Blade"/>
    <m/>
    <s v="Melee Attack"/>
    <x v="0"/>
    <n v="3"/>
    <m/>
    <m/>
    <m/>
    <m/>
  </r>
  <r>
    <x v="0"/>
    <x v="83"/>
    <n v="4"/>
    <x v="6"/>
    <s v="Parrying Blade"/>
    <m/>
    <s v="Melee Attack"/>
    <x v="0"/>
    <n v="2"/>
    <n v="1"/>
    <m/>
    <m/>
    <m/>
  </r>
  <r>
    <x v="0"/>
    <x v="84"/>
    <n v="4"/>
    <x v="6"/>
    <s v="Slingshot"/>
    <m/>
    <s v="Ranged Attack"/>
    <x v="3"/>
    <n v="2"/>
    <m/>
    <m/>
    <m/>
    <m/>
  </r>
  <r>
    <x v="0"/>
    <x v="85"/>
    <n v="4"/>
    <x v="6"/>
    <s v="Nova Bolt"/>
    <m/>
    <s v="Ranged Attack"/>
    <x v="4"/>
    <n v="2"/>
    <m/>
    <m/>
    <m/>
    <s v="If this rolls any Crit, may target an additional Enemy Close to the target."/>
  </r>
  <r>
    <x v="0"/>
    <x v="86"/>
    <n v="4"/>
    <x v="6"/>
    <s v="Life Drain"/>
    <m/>
    <s v="Ranged Attack"/>
    <x v="4"/>
    <n v="2"/>
    <m/>
    <m/>
    <m/>
    <s v="Each hit heals 1 Wound from this Hero."/>
  </r>
  <r>
    <x v="1"/>
    <x v="87"/>
    <n v="2"/>
    <x v="0"/>
    <s v="Last Grim"/>
    <n v="4"/>
    <s v="Melee Attack"/>
    <x v="11"/>
    <n v="3"/>
    <m/>
    <m/>
    <m/>
    <s v="May target an additional Enemy Close to this Hero."/>
  </r>
  <r>
    <x v="1"/>
    <x v="88"/>
    <n v="2"/>
    <x v="0"/>
    <s v="Holy Nova"/>
    <n v="4"/>
    <s v="Melee Attack"/>
    <x v="4"/>
    <n v="3"/>
    <m/>
    <m/>
    <m/>
    <s v="If you deal any Wounds, the target and an additional Enemy close to you are Dazed."/>
  </r>
  <r>
    <x v="1"/>
    <x v="89"/>
    <n v="2"/>
    <x v="0"/>
    <s v="Deadshot"/>
    <n v="3"/>
    <s v="Boost"/>
    <x v="8"/>
    <m/>
    <m/>
    <m/>
    <m/>
    <s v="+1 die to a Bow attack and an extra +1 die per Death Token on this Hero."/>
  </r>
  <r>
    <x v="1"/>
    <x v="90"/>
    <n v="2"/>
    <x v="1"/>
    <s v="Sorrow"/>
    <n v="3"/>
    <s v="Melee Attack"/>
    <x v="0"/>
    <n v="4"/>
    <n v="1"/>
    <m/>
    <n v="1"/>
    <s v="+1 attack die per Death token on this Hero."/>
  </r>
  <r>
    <x v="1"/>
    <x v="91"/>
    <n v="2"/>
    <x v="1"/>
    <s v="Rune Ring"/>
    <n v="2"/>
    <s v="Permanent"/>
    <x v="5"/>
    <m/>
    <m/>
    <m/>
    <n v="1"/>
    <s v="Add an extra +1 Reroll per Death token on this Hero."/>
  </r>
  <r>
    <x v="1"/>
    <x v="92"/>
    <n v="1"/>
    <x v="1"/>
    <s v="Fortune Dice"/>
    <n v="0"/>
    <s v="Permanent"/>
    <x v="5"/>
    <m/>
    <m/>
    <m/>
    <m/>
    <s v="Before you roll, predict how many hits or saves you will get. If you can get that many exactly, double the result."/>
  </r>
  <r>
    <x v="1"/>
    <x v="93"/>
    <n v="1"/>
    <x v="1"/>
    <s v="Boneguard"/>
    <n v="4"/>
    <s v="Permanent"/>
    <x v="6"/>
    <m/>
    <n v="1"/>
    <n v="1"/>
    <m/>
    <s v="Limit 1 armor per Hero. Cancels one Wound per Death token on the attacker."/>
  </r>
  <r>
    <x v="1"/>
    <x v="94"/>
    <n v="2"/>
    <x v="2"/>
    <s v="Throwing Axe"/>
    <n v="2"/>
    <s v="Ranged Attack"/>
    <x v="10"/>
    <n v="3"/>
    <m/>
    <m/>
    <m/>
    <s v="Each Crit deals one additional hit."/>
  </r>
  <r>
    <x v="1"/>
    <x v="95"/>
    <n v="2"/>
    <x v="2"/>
    <s v="Summoning"/>
    <n v="4"/>
    <s v="Ranged Attack"/>
    <x v="4"/>
    <n v="3"/>
    <m/>
    <m/>
    <m/>
    <s v="If this rolls any Crit, take the first Monster from the Spawn tile, place it Close to your target and have it attack him."/>
  </r>
  <r>
    <x v="1"/>
    <x v="96"/>
    <n v="2"/>
    <x v="2"/>
    <s v="Impale"/>
    <n v="4"/>
    <s v="Permanent"/>
    <x v="7"/>
    <m/>
    <m/>
    <m/>
    <m/>
    <s v="If you roll any Crit on a Sword or Lance attack, you may target one additional Enemy Close to the target."/>
  </r>
  <r>
    <x v="1"/>
    <x v="97"/>
    <n v="1"/>
    <x v="3"/>
    <s v="Skull Mace"/>
    <n v="3"/>
    <s v="Melee Attack"/>
    <x v="2"/>
    <n v="5"/>
    <m/>
    <m/>
    <m/>
    <s v="If this deals any Wounds, choose and exhaust one of the target's cards."/>
  </r>
  <r>
    <x v="1"/>
    <x v="98"/>
    <n v="2"/>
    <x v="3"/>
    <s v="Banish"/>
    <n v="5"/>
    <s v="Ranged Attack"/>
    <x v="4"/>
    <n v="5"/>
    <m/>
    <m/>
    <m/>
    <s v="Place the target in the Spawn tile unless he takes 2 extra Wounds (banishment does not count as a kill)."/>
  </r>
  <r>
    <x v="1"/>
    <x v="99"/>
    <n v="1"/>
    <x v="3"/>
    <s v="Rabbit's Foot"/>
    <n v="2"/>
    <s v="Permanent"/>
    <x v="5"/>
    <m/>
    <m/>
    <m/>
    <m/>
    <s v="Exhaust your Hero card to roll again from scratch either your attack or an attack made against you."/>
  </r>
  <r>
    <x v="1"/>
    <x v="100"/>
    <n v="1"/>
    <x v="3"/>
    <s v="Necronomicon"/>
    <n v="4"/>
    <s v="Boost"/>
    <x v="8"/>
    <m/>
    <m/>
    <m/>
    <m/>
    <s v="+1 die to any attack per Death token on the target"/>
  </r>
  <r>
    <x v="1"/>
    <x v="101"/>
    <n v="1"/>
    <x v="3"/>
    <s v="Holy Nova II"/>
    <n v="4"/>
    <s v="Melee Attack"/>
    <x v="4"/>
    <n v="4"/>
    <m/>
    <m/>
    <m/>
    <s v="If this attack deals any Wounds, your target and all Enemies Close to you are Dazed."/>
  </r>
  <r>
    <x v="1"/>
    <x v="102"/>
    <n v="2"/>
    <x v="4"/>
    <s v="Hunter Crossbow"/>
    <n v="4"/>
    <s v="Ranged Attack"/>
    <x v="3"/>
    <n v="5"/>
    <m/>
    <m/>
    <m/>
    <s v="Only Crit on the Defense roll score saves against this attack. +1 die against Monsters"/>
  </r>
  <r>
    <x v="1"/>
    <x v="103"/>
    <n v="2"/>
    <x v="4"/>
    <s v="Wither"/>
    <n v="7"/>
    <s v="Ranged Attack"/>
    <x v="4"/>
    <n v="4"/>
    <m/>
    <m/>
    <m/>
    <s v="If this rolls any Crit, place your Guild token on the target's figure. At the start of each of your turns, the target suffers a Wound (Rest removes this)."/>
  </r>
  <r>
    <x v="1"/>
    <x v="104"/>
    <n v="1"/>
    <x v="4"/>
    <s v="Warding Signet"/>
    <n v="1"/>
    <s v="Permanent"/>
    <x v="5"/>
    <m/>
    <m/>
    <m/>
    <m/>
    <s v="Any Monster moving into a Space Close to this Hero suffers 1 Wound."/>
  </r>
  <r>
    <x v="1"/>
    <x v="105"/>
    <n v="1"/>
    <x v="4"/>
    <s v="Impale II"/>
    <n v="2"/>
    <s v="Permanent"/>
    <x v="7"/>
    <m/>
    <m/>
    <m/>
    <m/>
    <s v="For each Crit you roll on a Sword or Lance attack, you may target one additional Enemy Close to the target."/>
  </r>
  <r>
    <x v="1"/>
    <x v="106"/>
    <n v="2"/>
    <x v="5"/>
    <s v="Spinal Tap"/>
    <m/>
    <s v="Ranged Attack"/>
    <x v="3"/>
    <n v="3"/>
    <m/>
    <m/>
    <m/>
    <s v="+2 dice if the target has any Death tokens."/>
  </r>
  <r>
    <x v="1"/>
    <x v="107"/>
    <n v="1"/>
    <x v="5"/>
    <s v="Power Harness"/>
    <m/>
    <s v="Permanent"/>
    <x v="6"/>
    <m/>
    <n v="1"/>
    <n v="2"/>
    <m/>
    <s v="Limit 1 armor per Hero. This Hero can exhaust each card one extra time."/>
  </r>
  <r>
    <x v="1"/>
    <x v="108"/>
    <n v="2"/>
    <x v="5"/>
    <s v="Holy Water"/>
    <m/>
    <s v="Ranged Attack"/>
    <x v="4"/>
    <n v="4"/>
    <m/>
    <m/>
    <m/>
    <s v="If attacking a Minion, each Crit rolled immediately deals an extra Wound."/>
  </r>
  <r>
    <x v="1"/>
    <x v="109"/>
    <n v="2"/>
    <x v="5"/>
    <s v="Soulstone"/>
    <m/>
    <s v="Permanent"/>
    <x v="5"/>
    <m/>
    <m/>
    <m/>
    <m/>
    <s v="If this Hero would be killed when his Hero card is unexhausted, he may exhaust it to stay alive, with 2 Wounds less than his total Life."/>
  </r>
  <r>
    <x v="1"/>
    <x v="110"/>
    <n v="2"/>
    <x v="5"/>
    <s v="Skull Helm"/>
    <m/>
    <s v="Permanent"/>
    <x v="8"/>
    <m/>
    <n v="2"/>
    <m/>
    <n v="3"/>
    <s v="If this Hero has Boneguard, cancel 1 Wound per attack."/>
  </r>
  <r>
    <x v="1"/>
    <x v="111"/>
    <n v="2"/>
    <x v="5"/>
    <s v="Flaming Chain"/>
    <m/>
    <s v="Melee Attack"/>
    <x v="12"/>
    <n v="3"/>
    <m/>
    <m/>
    <m/>
    <s v="If this rolls any Crit, place your Guild token on the target's figure. At the start of each of your turns, the target suffers a Wound (Rest removes this)."/>
  </r>
  <r>
    <x v="1"/>
    <x v="112"/>
    <n v="2"/>
    <x v="5"/>
    <s v="Hulking Serum"/>
    <m/>
    <s v="Boost"/>
    <x v="8"/>
    <m/>
    <m/>
    <m/>
    <m/>
    <s v="Double the Attack dice of a non-Magic attack card."/>
  </r>
  <r>
    <x v="1"/>
    <x v="113"/>
    <n v="1"/>
    <x v="5"/>
    <s v="Tombstone Shield"/>
    <m/>
    <s v="Permanent"/>
    <x v="9"/>
    <m/>
    <n v="2"/>
    <m/>
    <n v="1"/>
    <s v="And an extra +1 Defense per Death token on this Hero."/>
  </r>
  <r>
    <x v="1"/>
    <x v="114"/>
    <n v="4"/>
    <x v="6"/>
    <s v="Sickle"/>
    <m/>
    <s v="Melee Attack"/>
    <x v="1"/>
    <n v="2"/>
    <m/>
    <m/>
    <n v="1"/>
    <m/>
  </r>
  <r>
    <x v="2"/>
    <x v="115"/>
    <n v="2"/>
    <x v="7"/>
    <s v="Headsplitter"/>
    <n v="4"/>
    <s v="Melee Attack"/>
    <x v="1"/>
    <n v="6"/>
    <m/>
    <m/>
    <m/>
    <s v="Each Crit deals 2 additional Hits."/>
  </r>
  <r>
    <x v="2"/>
    <x v="116"/>
    <n v="2"/>
    <x v="7"/>
    <s v="Dragon Blade"/>
    <n v="8"/>
    <s v="Melee Attack"/>
    <x v="13"/>
    <n v="7"/>
    <n v="2"/>
    <m/>
    <n v="2"/>
    <s v="Rolls +1 Attack die per other Dragon card that this Hero has equipped."/>
  </r>
  <r>
    <x v="2"/>
    <x v="117"/>
    <n v="2"/>
    <x v="7"/>
    <s v="Fanged Bow"/>
    <n v="3"/>
    <s v="Ranged Attack"/>
    <x v="3"/>
    <n v="7"/>
    <m/>
    <m/>
    <m/>
    <m/>
  </r>
  <r>
    <x v="2"/>
    <x v="118"/>
    <n v="2"/>
    <x v="7"/>
    <s v="Badda-Bomb"/>
    <n v="9"/>
    <s v="Ranged Attack"/>
    <x v="10"/>
    <n v="6"/>
    <m/>
    <m/>
    <m/>
    <s v="Limit 1 Bomb per Guild. If this rolls any hits, place 1 Guild token on each Close Space. Token explodes and attacks an enemy Hero who moves into that Space."/>
  </r>
  <r>
    <x v="2"/>
    <x v="119"/>
    <n v="2"/>
    <x v="7"/>
    <s v="Hate III"/>
    <n v="3"/>
    <s v="Ranged Attack"/>
    <x v="4"/>
    <n v="6"/>
    <m/>
    <m/>
    <m/>
    <s v="If this rolls any Crit against a Hero, exhaust all of his cards, unless he takes 2 extra Wounds."/>
  </r>
  <r>
    <x v="2"/>
    <x v="120"/>
    <n v="2"/>
    <x v="7"/>
    <s v="Holy Nova III"/>
    <n v="3"/>
    <s v="Melee Attack"/>
    <x v="4"/>
    <n v="6"/>
    <m/>
    <m/>
    <m/>
    <s v="If this deals any Wounds, your target and all Enemies Close to you are Dazed."/>
  </r>
  <r>
    <x v="2"/>
    <x v="121"/>
    <n v="1"/>
    <x v="7"/>
    <s v="Portal Spell"/>
    <n v="2"/>
    <s v="Ranged Attack"/>
    <x v="4"/>
    <n v="6"/>
    <m/>
    <m/>
    <m/>
    <s v="If this rolls any Crit, you may place any Hero in Line of Sight on a Space Close to a portal."/>
  </r>
  <r>
    <x v="2"/>
    <x v="122"/>
    <n v="1"/>
    <x v="7"/>
    <s v="Blond Elf Gloves III"/>
    <n v="4"/>
    <s v="Boost"/>
    <x v="8"/>
    <m/>
    <m/>
    <m/>
    <m/>
    <s v="+3 dice to one non-Magic Ranged Attack card. Do not exhaust the boosted card."/>
  </r>
  <r>
    <x v="2"/>
    <x v="123"/>
    <n v="2"/>
    <x v="7"/>
    <s v="Angelic Ring IV"/>
    <n v="4"/>
    <s v="Boost"/>
    <x v="5"/>
    <m/>
    <m/>
    <m/>
    <m/>
    <s v="+4 dice to one Attack card."/>
  </r>
  <r>
    <x v="2"/>
    <x v="124"/>
    <n v="2"/>
    <x v="7"/>
    <s v="Dragon Helm"/>
    <n v="8"/>
    <s v="Permanent"/>
    <x v="14"/>
    <m/>
    <n v="4"/>
    <n v="4"/>
    <m/>
    <s v="+1 Reroll for each Dragon card that this Hero has equipped."/>
  </r>
  <r>
    <x v="2"/>
    <x v="125"/>
    <n v="2"/>
    <x v="7"/>
    <s v="Messy Mail"/>
    <n v="2"/>
    <s v="Permanent"/>
    <x v="6"/>
    <m/>
    <n v="3"/>
    <n v="1"/>
    <n v="2"/>
    <s v="Limit 1 armor per Hero."/>
  </r>
  <r>
    <x v="2"/>
    <x v="126"/>
    <n v="1"/>
    <x v="7"/>
    <s v="Stabilizing Bracer"/>
    <n v="1"/>
    <s v="Permanent"/>
    <x v="8"/>
    <m/>
    <m/>
    <m/>
    <m/>
    <s v="Each Wound this Hero deals removes 1 Frost/Fire/Chaos/Poison token from this Hero or another Hero in Line of Sight."/>
  </r>
  <r>
    <x v="2"/>
    <x v="127"/>
    <n v="2"/>
    <x v="7"/>
    <s v="Friendship Bracelet"/>
    <n v="0"/>
    <s v="Permanent"/>
    <x v="8"/>
    <m/>
    <m/>
    <m/>
    <m/>
    <s v="Get an additional die per Close Hero on all rolls."/>
  </r>
  <r>
    <x v="2"/>
    <x v="128"/>
    <n v="1"/>
    <x v="7"/>
    <s v="Armageddon Crown"/>
    <n v="5"/>
    <s v="Permanent"/>
    <x v="5"/>
    <m/>
    <m/>
    <m/>
    <m/>
    <s v="At the start of your activation, you may deal 2 Wounds to any Close Enemies."/>
  </r>
  <r>
    <x v="2"/>
    <x v="129"/>
    <n v="1"/>
    <x v="5"/>
    <s v="Excalibur"/>
    <m/>
    <s v="Melee Attack"/>
    <x v="0"/>
    <n v="6"/>
    <n v="3"/>
    <m/>
    <n v="3"/>
    <s v="If this deals any Wounds against a Minion, it doesn't trigger a Payback Reaction."/>
  </r>
  <r>
    <x v="2"/>
    <x v="130"/>
    <n v="1"/>
    <x v="5"/>
    <s v="Vexia's Staff"/>
    <m/>
    <s v="Permanent"/>
    <x v="8"/>
    <m/>
    <m/>
    <m/>
    <m/>
    <s v="This Hero gets +2 dice on Magic Attack rolls per each other Hero of his Guild that is alive."/>
  </r>
  <r>
    <x v="2"/>
    <x v="131"/>
    <n v="1"/>
    <x v="8"/>
    <s v="Chaos Breath"/>
    <m/>
    <s v="Ranged Attack"/>
    <x v="4"/>
    <n v="6"/>
    <n v="2"/>
    <m/>
    <n v="2"/>
    <m/>
  </r>
  <r>
    <x v="3"/>
    <x v="132"/>
    <n v="2"/>
    <x v="7"/>
    <s v="Titan's Grave"/>
    <n v="1"/>
    <s v="Melee Attack"/>
    <x v="0"/>
    <n v="6"/>
    <n v="2"/>
    <m/>
    <n v="2"/>
    <m/>
  </r>
  <r>
    <x v="3"/>
    <x v="133"/>
    <n v="2"/>
    <x v="7"/>
    <s v="Dragon Bow Z"/>
    <n v="8"/>
    <s v="Ranged Attack"/>
    <x v="15"/>
    <n v="7"/>
    <m/>
    <m/>
    <m/>
    <s v="May target an additional Enemy Close to the target per Dragon card that this Hero has equipped."/>
  </r>
  <r>
    <x v="3"/>
    <x v="134"/>
    <n v="3"/>
    <x v="7"/>
    <s v="Murder &amp; Skully"/>
    <n v="2"/>
    <s v="Melee Attack"/>
    <x v="2"/>
    <n v="6"/>
    <m/>
    <m/>
    <m/>
    <s v="If this deals any Wounds, it also exhausts ALL of the target's cards."/>
  </r>
  <r>
    <x v="3"/>
    <x v="135"/>
    <n v="2"/>
    <x v="7"/>
    <s v="Quicksilver Crossbow"/>
    <n v="4"/>
    <s v="Ranged Attack"/>
    <x v="3"/>
    <n v="5"/>
    <m/>
    <m/>
    <m/>
    <s v="Only Crit on the Defense roll score Saves against this attack. +1 die against Monsters."/>
  </r>
  <r>
    <x v="3"/>
    <x v="136"/>
    <n v="2"/>
    <x v="7"/>
    <s v="Burninate III"/>
    <n v="5"/>
    <s v="Ranged Attack"/>
    <x v="4"/>
    <n v="6"/>
    <m/>
    <m/>
    <m/>
    <s v="May also target any number of enemies Close to the target."/>
  </r>
  <r>
    <x v="3"/>
    <x v="137"/>
    <n v="1"/>
    <x v="7"/>
    <s v="Searing III"/>
    <n v="7"/>
    <s v="Ranged Attack"/>
    <x v="4"/>
    <n v="3"/>
    <m/>
    <m/>
    <m/>
    <s v="If this rolls any Hits against a Hero, Saves scored by the Defense roll count as Wounds against him instead."/>
  </r>
  <r>
    <x v="3"/>
    <x v="138"/>
    <n v="1"/>
    <x v="7"/>
    <s v="Heartbreaker"/>
    <n v="7"/>
    <s v="Melee Attack"/>
    <x v="4"/>
    <n v="3"/>
    <m/>
    <m/>
    <m/>
    <s v="Each Hit rolled deals one additional Hit."/>
  </r>
  <r>
    <x v="3"/>
    <x v="139"/>
    <n v="1"/>
    <x v="7"/>
    <s v="Moon Ring IV"/>
    <n v="4"/>
    <s v="Boost"/>
    <x v="5"/>
    <m/>
    <m/>
    <m/>
    <m/>
    <s v="+4 dice to one Attack card."/>
  </r>
  <r>
    <x v="3"/>
    <x v="140"/>
    <n v="1"/>
    <x v="7"/>
    <s v="Wand of Swiftness III"/>
    <n v="4"/>
    <s v="Boost"/>
    <x v="8"/>
    <m/>
    <m/>
    <m/>
    <m/>
    <s v="+2 dice to a Magic Attack card. After the attack, this Hero gains 2 extra Movement Points to use this turn."/>
  </r>
  <r>
    <x v="3"/>
    <x v="141"/>
    <n v="1"/>
    <x v="7"/>
    <s v="Nasty Pendant II"/>
    <n v="3"/>
    <s v="Boost"/>
    <x v="5"/>
    <m/>
    <m/>
    <m/>
    <m/>
    <s v="+3 dice to one Attack card. To use this, the Hero takes 2 Wounds."/>
  </r>
  <r>
    <x v="3"/>
    <x v="142"/>
    <n v="2"/>
    <x v="7"/>
    <s v="Dragon Armor"/>
    <n v="8"/>
    <s v="Permanent"/>
    <x v="16"/>
    <m/>
    <n v="5"/>
    <n v="5"/>
    <m/>
    <s v="Limit 1 armor per Hero. +1 Defense per each other Dragon card this Hero has."/>
  </r>
  <r>
    <x v="3"/>
    <x v="143"/>
    <n v="2"/>
    <x v="7"/>
    <s v="Cosy Mail"/>
    <n v="2"/>
    <s v="Permanent"/>
    <x v="6"/>
    <m/>
    <n v="2"/>
    <n v="3"/>
    <n v="1"/>
    <s v="Limit 1 armor per Hero."/>
  </r>
  <r>
    <x v="3"/>
    <x v="144"/>
    <n v="1"/>
    <x v="7"/>
    <s v="Stabilizing Bracer"/>
    <n v="1"/>
    <s v="Permanent"/>
    <x v="8"/>
    <m/>
    <m/>
    <m/>
    <m/>
    <s v="Each Wound this Hero deals removes 1 Frost/Fire/Chaos/Poison token from this Hero or another Hero in Line of Sight."/>
  </r>
  <r>
    <x v="3"/>
    <x v="145"/>
    <n v="2"/>
    <x v="7"/>
    <s v="Charm Bracelet"/>
    <n v="0"/>
    <s v="Permanent"/>
    <x v="8"/>
    <m/>
    <m/>
    <m/>
    <m/>
    <s v="This Hero gets all Rerolls available to all Heroes Close to him."/>
  </r>
  <r>
    <x v="3"/>
    <x v="146"/>
    <n v="1"/>
    <x v="7"/>
    <s v="Genesis Glass III"/>
    <n v="8"/>
    <s v="Permanent"/>
    <x v="5"/>
    <m/>
    <m/>
    <m/>
    <m/>
    <s v="At the start of your turn, this Hero heals 3 Wounds."/>
  </r>
  <r>
    <x v="3"/>
    <x v="147"/>
    <n v="1"/>
    <x v="5"/>
    <s v="Pentakill"/>
    <m/>
    <s v="Ranged Attack"/>
    <x v="10"/>
    <n v="6"/>
    <m/>
    <m/>
    <m/>
    <s v="May also target any number of enemies Close to the target."/>
  </r>
  <r>
    <x v="3"/>
    <x v="148"/>
    <n v="1"/>
    <x v="5"/>
    <s v="Rock Bottom's Horns"/>
    <m/>
    <s v="Boost"/>
    <x v="8"/>
    <m/>
    <m/>
    <m/>
    <m/>
    <s v="+3 dice to a Ranged attack. If the boosted attack deals any Wounds to a Monster, you may deal 1 Wound to all others of the same Tier."/>
  </r>
  <r>
    <x v="3"/>
    <x v="131"/>
    <n v="1"/>
    <x v="8"/>
    <s v="Fire Breath"/>
    <m/>
    <s v="Ranged Attack"/>
    <x v="4"/>
    <n v="6"/>
    <m/>
    <n v="2"/>
    <n v="2"/>
    <m/>
  </r>
  <r>
    <x v="4"/>
    <x v="149"/>
    <n v="2"/>
    <x v="7"/>
    <s v="Titan's Grave"/>
    <n v="1"/>
    <s v="Melee Attack"/>
    <x v="0"/>
    <n v="6"/>
    <n v="2"/>
    <m/>
    <n v="2"/>
    <m/>
  </r>
  <r>
    <x v="4"/>
    <x v="150"/>
    <n v="2"/>
    <x v="7"/>
    <s v="Dragon Glass"/>
    <n v="8"/>
    <s v="Melee Attack"/>
    <x v="17"/>
    <n v="7"/>
    <m/>
    <m/>
    <m/>
    <s v="The first diagonal Space counts as Close for this. May target one additional Close Enemy per Dragon card this Hero has."/>
  </r>
  <r>
    <x v="4"/>
    <x v="151"/>
    <n v="2"/>
    <x v="7"/>
    <s v="Trinity Bolt"/>
    <n v="3"/>
    <s v="Ranged Attack"/>
    <x v="3"/>
    <n v="5"/>
    <m/>
    <m/>
    <m/>
    <s v="Only Crit on the Defense roll score Saves against this attack."/>
  </r>
  <r>
    <x v="4"/>
    <x v="152"/>
    <n v="2"/>
    <x v="7"/>
    <s v="Skulls Out"/>
    <n v="2"/>
    <s v="Ranged Attack"/>
    <x v="10"/>
    <n v="6"/>
    <m/>
    <m/>
    <m/>
    <s v="Each Crit deals an additional Hit."/>
  </r>
  <r>
    <x v="4"/>
    <x v="153"/>
    <n v="2"/>
    <x v="7"/>
    <s v="Wind Blast III"/>
    <n v="4"/>
    <s v="Ranged Attack"/>
    <x v="4"/>
    <n v="6"/>
    <m/>
    <m/>
    <m/>
    <s v="If this Rolls any Hits, Move target up to 3 spaces (this Move doesn't trigger Guard Reaction)."/>
  </r>
  <r>
    <x v="4"/>
    <x v="154"/>
    <n v="2"/>
    <x v="7"/>
    <s v="Lifebound IV"/>
    <n v="4"/>
    <s v="Ranged Attack"/>
    <x v="4"/>
    <n v="6"/>
    <m/>
    <m/>
    <m/>
    <s v="If this rolls any Hits, heal all Wounds from this Hero or one Ally Close to the target."/>
  </r>
  <r>
    <x v="4"/>
    <x v="155"/>
    <n v="1"/>
    <x v="7"/>
    <s v="Everspell"/>
    <n v="7"/>
    <s v="Ranged Attack"/>
    <x v="4"/>
    <n v="6"/>
    <m/>
    <m/>
    <m/>
    <s v="If this deals any Wounds, you may unexhaust this card."/>
  </r>
  <r>
    <x v="4"/>
    <x v="156"/>
    <n v="1"/>
    <x v="7"/>
    <s v="Moon Ring IV"/>
    <n v="4"/>
    <s v="Boost"/>
    <x v="5"/>
    <m/>
    <m/>
    <m/>
    <m/>
    <s v="+4 dice to one Attack card."/>
  </r>
  <r>
    <x v="4"/>
    <x v="157"/>
    <n v="1"/>
    <x v="7"/>
    <s v="Wand of Haste II"/>
    <n v="3"/>
    <s v="Boost"/>
    <x v="5"/>
    <m/>
    <m/>
    <m/>
    <m/>
    <s v="+2 dice to a Magic attack. Do not exhaust the boosted Magic attack card."/>
  </r>
  <r>
    <x v="4"/>
    <x v="158"/>
    <n v="1"/>
    <x v="7"/>
    <s v="Healing Bracer III"/>
    <n v="0"/>
    <s v="Boost"/>
    <x v="8"/>
    <m/>
    <m/>
    <m/>
    <m/>
    <s v="Each Wound dealt by the boosted Melee attack heals 3 Wounds from this Hero."/>
  </r>
  <r>
    <x v="4"/>
    <x v="159"/>
    <n v="2"/>
    <x v="7"/>
    <s v="Dragon Boots"/>
    <n v="8"/>
    <s v="Permanent"/>
    <x v="14"/>
    <m/>
    <m/>
    <n v="4"/>
    <n v="4"/>
    <s v="+1 Movement Point per Dragon card this Hero has."/>
  </r>
  <r>
    <x v="4"/>
    <x v="160"/>
    <n v="2"/>
    <x v="7"/>
    <s v="Frosty Mail"/>
    <n v="2"/>
    <s v="Permanent"/>
    <x v="6"/>
    <m/>
    <n v="2"/>
    <n v="2"/>
    <n v="2"/>
    <s v="Limit 1 armor per Hero."/>
  </r>
  <r>
    <x v="4"/>
    <x v="161"/>
    <n v="1"/>
    <x v="7"/>
    <s v="Stabilizing Bracer"/>
    <n v="1"/>
    <s v="Permanent"/>
    <x v="8"/>
    <m/>
    <m/>
    <m/>
    <m/>
    <s v="Each Wound this Hero deals removes 1 Frost/Fire/Chaos/Poison token from this Hero or another Hero in Line of Sight."/>
  </r>
  <r>
    <x v="4"/>
    <x v="162"/>
    <n v="2"/>
    <x v="7"/>
    <s v="Friendship Bracelet"/>
    <n v="0"/>
    <s v="Permanent"/>
    <x v="8"/>
    <m/>
    <m/>
    <m/>
    <m/>
    <s v="Get an additional die per Close Hero on all rolls."/>
  </r>
  <r>
    <x v="4"/>
    <x v="163"/>
    <n v="1"/>
    <x v="7"/>
    <s v="Genesis Glass III"/>
    <n v="8"/>
    <s v="Permanent"/>
    <x v="5"/>
    <m/>
    <m/>
    <m/>
    <m/>
    <s v="At the start of your turn, this Hero heals 3 Wounds."/>
  </r>
  <r>
    <x v="4"/>
    <x v="164"/>
    <n v="1"/>
    <x v="7"/>
    <s v="Lord Fang's Sword"/>
    <m/>
    <s v="Melee Attack"/>
    <x v="0"/>
    <n v="6"/>
    <n v="3"/>
    <n v="3"/>
    <m/>
    <s v="Each Crit heals 2 Wounds from this Hero."/>
  </r>
  <r>
    <x v="4"/>
    <x v="165"/>
    <n v="1"/>
    <x v="7"/>
    <s v="Dread King's Armor"/>
    <m/>
    <s v="Permanent"/>
    <x v="6"/>
    <m/>
    <n v="3"/>
    <n v="3"/>
    <m/>
    <s v="Limit 1 armor per Hero. Each Crit adds 2 extra Saves."/>
  </r>
  <r>
    <x v="4"/>
    <x v="131"/>
    <n v="1"/>
    <x v="8"/>
    <s v="Frost Breath"/>
    <m/>
    <s v="Ranged Attack"/>
    <x v="4"/>
    <n v="6"/>
    <n v="3"/>
    <m/>
    <m/>
    <s v="+1 Movement Point."/>
  </r>
  <r>
    <x v="5"/>
    <x v="166"/>
    <n v="2"/>
    <x v="0"/>
    <s v="Fancy Blade"/>
    <n v="1"/>
    <s v="Melee Attack"/>
    <x v="0"/>
    <n v="3"/>
    <n v="1"/>
    <m/>
    <n v="1"/>
    <m/>
  </r>
  <r>
    <x v="5"/>
    <x v="167"/>
    <n v="2"/>
    <x v="0"/>
    <s v="Katar"/>
    <n v="2"/>
    <s v="Melee Attack"/>
    <x v="12"/>
    <n v="3"/>
    <m/>
    <m/>
    <m/>
    <s v="May be exhausted twice."/>
  </r>
  <r>
    <x v="5"/>
    <x v="168"/>
    <n v="1"/>
    <x v="0"/>
    <s v="Hellborn"/>
    <n v="7"/>
    <s v="Melee Attack"/>
    <x v="2"/>
    <n v="5"/>
    <m/>
    <m/>
    <m/>
    <s v="To use this, the Hero takes 1 Damnation. If this deals any Wounds, your target is dazed."/>
  </r>
  <r>
    <x v="5"/>
    <x v="169"/>
    <n v="2"/>
    <x v="0"/>
    <s v="Tainted Bow"/>
    <n v="3"/>
    <s v="Ranged Attack"/>
    <x v="3"/>
    <n v="3"/>
    <m/>
    <m/>
    <m/>
    <s v="This Hero may take 1 Damnation to roll +1 die for this attack."/>
  </r>
  <r>
    <x v="5"/>
    <x v="170"/>
    <n v="2"/>
    <x v="0"/>
    <s v="Chakram"/>
    <n v="3"/>
    <s v="Ranged Attack"/>
    <x v="10"/>
    <n v="3"/>
    <m/>
    <m/>
    <m/>
    <s v="When attacking a Close Enemy, hits on Melee icons instead of Ranged Icons."/>
  </r>
  <r>
    <x v="5"/>
    <x v="171"/>
    <n v="1"/>
    <x v="0"/>
    <s v="Cleansing Glow"/>
    <n v="5"/>
    <s v="Ranged Attack"/>
    <x v="4"/>
    <n v="4"/>
    <m/>
    <m/>
    <m/>
    <s v="For each Wound this deals, remove 1 Damnation from this Hero."/>
  </r>
  <r>
    <x v="5"/>
    <x v="172"/>
    <n v="1"/>
    <x v="0"/>
    <s v="Searing"/>
    <n v="4"/>
    <s v="Ranged Attack"/>
    <x v="4"/>
    <n v="1"/>
    <m/>
    <m/>
    <m/>
    <s v="If this rolls any Hits against a Hero, Saves scored by the Defense roll count as Wounds against him instead."/>
  </r>
  <r>
    <x v="5"/>
    <x v="173"/>
    <n v="2"/>
    <x v="0"/>
    <s v="Dammit Blast"/>
    <n v="2"/>
    <s v="Ranged Attack"/>
    <x v="4"/>
    <n v="3"/>
    <m/>
    <m/>
    <m/>
    <s v="If this rolls any Hits when attacking a Hero, the target gets 1 Damnation."/>
  </r>
  <r>
    <x v="5"/>
    <x v="174"/>
    <n v="2"/>
    <x v="0"/>
    <s v="Angelic Ring"/>
    <n v="4"/>
    <s v="Boost"/>
    <x v="5"/>
    <m/>
    <m/>
    <m/>
    <m/>
    <s v="+1 die to one Attack card."/>
  </r>
  <r>
    <x v="5"/>
    <x v="175"/>
    <n v="1"/>
    <x v="0"/>
    <s v="Healing Bracer"/>
    <n v="0"/>
    <s v="Boost"/>
    <x v="8"/>
    <m/>
    <m/>
    <m/>
    <m/>
    <s v="Each wound dealt by the boosted Melee Attack heals 1 Wound from this Hero."/>
  </r>
  <r>
    <x v="5"/>
    <x v="176"/>
    <n v="2"/>
    <x v="0"/>
    <s v="Infernal Shield"/>
    <n v="1"/>
    <s v="Permanent"/>
    <x v="9"/>
    <m/>
    <n v="1"/>
    <m/>
    <m/>
    <s v="This Hero may take 1 Damnation to roll an extra Defense die."/>
  </r>
  <r>
    <x v="5"/>
    <x v="177"/>
    <n v="2"/>
    <x v="0"/>
    <s v="Cloven Hoof"/>
    <n v="0"/>
    <s v="Permanent"/>
    <x v="5"/>
    <m/>
    <m/>
    <n v="1"/>
    <n v="1"/>
    <s v="At the start of his activation, this Hero may take 1 Damnation to heal 1 Wound."/>
  </r>
  <r>
    <x v="5"/>
    <x v="178"/>
    <n v="2"/>
    <x v="0"/>
    <s v="Drive Thru"/>
    <n v="5"/>
    <s v="Permanent"/>
    <x v="7"/>
    <m/>
    <m/>
    <m/>
    <m/>
    <s v="Your Lance and Exotic attacks may target an additional Enemy Close to this Hero."/>
  </r>
  <r>
    <x v="5"/>
    <x v="179"/>
    <n v="2"/>
    <x v="0"/>
    <s v="Crusader Shot"/>
    <n v="1"/>
    <s v="Permanent"/>
    <x v="7"/>
    <m/>
    <m/>
    <m/>
    <m/>
    <s v="Your Bow and Thrown Weapon attacks roll +1 die if the target has any Damnation."/>
  </r>
  <r>
    <x v="5"/>
    <x v="180"/>
    <n v="2"/>
    <x v="1"/>
    <s v="Shiny Blade"/>
    <n v="1"/>
    <s v="Melee Attack"/>
    <x v="0"/>
    <n v="4"/>
    <n v="2"/>
    <m/>
    <n v="1"/>
    <m/>
  </r>
  <r>
    <x v="5"/>
    <x v="181"/>
    <n v="2"/>
    <x v="1"/>
    <s v="Dammit Whip"/>
    <n v="2"/>
    <s v="Melee Attack"/>
    <x v="12"/>
    <n v="4"/>
    <m/>
    <m/>
    <m/>
    <s v="If this rolls any Hits when attacking a Hero, the target gets 1 Damnation."/>
  </r>
  <r>
    <x v="5"/>
    <x v="182"/>
    <n v="2"/>
    <x v="1"/>
    <s v="Grievous Trident"/>
    <n v="4"/>
    <s v="Melee Attack"/>
    <x v="11"/>
    <n v="4"/>
    <m/>
    <m/>
    <m/>
    <s v="For any attack this Hero makes, he may take 1 Damnation to roll +1 die."/>
  </r>
  <r>
    <x v="5"/>
    <x v="183"/>
    <n v="1"/>
    <x v="1"/>
    <s v="Ghastly Bow"/>
    <n v="7"/>
    <s v="Ranged Attack"/>
    <x v="3"/>
    <n v="5"/>
    <m/>
    <m/>
    <m/>
    <s v="To use this, the Hero takes 1 Damnation."/>
  </r>
  <r>
    <x v="5"/>
    <x v="184"/>
    <n v="2"/>
    <x v="1"/>
    <s v="Widowmaker"/>
    <n v="5"/>
    <s v="Ranged Attack"/>
    <x v="3"/>
    <n v="2"/>
    <m/>
    <m/>
    <m/>
    <s v="Roll an extra die for each Hit obtained from a non-Crit result."/>
  </r>
  <r>
    <x v="5"/>
    <x v="185"/>
    <n v="2"/>
    <x v="1"/>
    <s v="Shockwave"/>
    <n v="3"/>
    <s v="Melee Attack"/>
    <x v="4"/>
    <n v="4"/>
    <m/>
    <m/>
    <m/>
    <s v="If this rolls any Crit, move the target up to 4 Spaces (this move doesn't trigger Guard Reaction)."/>
  </r>
  <r>
    <x v="5"/>
    <x v="186"/>
    <n v="2"/>
    <x v="1"/>
    <s v="Lifebound II"/>
    <n v="4"/>
    <s v="Ranged Attack"/>
    <x v="4"/>
    <n v="3"/>
    <m/>
    <m/>
    <m/>
    <s v="Each Hit heals 1 Wound from this Hero and one Ally Close to the target."/>
  </r>
  <r>
    <x v="5"/>
    <x v="187"/>
    <n v="2"/>
    <x v="1"/>
    <s v="Nasty Pendant"/>
    <n v="4"/>
    <s v="Boost"/>
    <x v="5"/>
    <m/>
    <m/>
    <m/>
    <m/>
    <s v="+2 dice to one attack card. To use this, the Hero takes 1 Wound."/>
  </r>
  <r>
    <x v="5"/>
    <x v="188"/>
    <n v="1"/>
    <x v="1"/>
    <s v="Horned Shield"/>
    <n v="3"/>
    <s v="Permanent"/>
    <x v="9"/>
    <m/>
    <n v="2"/>
    <m/>
    <n v="1"/>
    <s v="This Hero may take 1 Damnation to roll an extra Defense die."/>
  </r>
  <r>
    <x v="5"/>
    <x v="189"/>
    <n v="2"/>
    <x v="1"/>
    <s v="Infernal Plate"/>
    <n v="6"/>
    <s v="Permanent"/>
    <x v="6"/>
    <m/>
    <n v="2"/>
    <n v="1"/>
    <m/>
    <s v="Limit 1 armor per Hero."/>
  </r>
  <r>
    <x v="5"/>
    <x v="190"/>
    <n v="2"/>
    <x v="1"/>
    <s v="Crusader Strike"/>
    <n v="1"/>
    <s v="Permanent"/>
    <x v="7"/>
    <m/>
    <m/>
    <m/>
    <m/>
    <s v="Your Sword and Exotic attacks roll +1 die if the target has any Damnation."/>
  </r>
  <r>
    <x v="5"/>
    <x v="191"/>
    <n v="2"/>
    <x v="1"/>
    <s v="Vicious Ring"/>
    <n v="0"/>
    <s v="Permanent"/>
    <x v="5"/>
    <m/>
    <m/>
    <m/>
    <n v="2"/>
    <s v="This Hero may take 1 Damnation to gain an extra Reroll."/>
  </r>
  <r>
    <x v="5"/>
    <x v="192"/>
    <n v="1"/>
    <x v="1"/>
    <s v="Redemption Glass"/>
    <n v="8"/>
    <s v="Permanent"/>
    <x v="5"/>
    <m/>
    <m/>
    <m/>
    <m/>
    <s v="At the start of your turn, this Hero heals 1 Wound or 1 Damnation."/>
  </r>
  <r>
    <x v="5"/>
    <x v="193"/>
    <n v="1"/>
    <x v="1"/>
    <s v="Brutal Boots"/>
    <n v="0"/>
    <s v="Permanent"/>
    <x v="8"/>
    <m/>
    <m/>
    <m/>
    <m/>
    <s v="Once on each of your turns, this Hero may take 1 Damnation to immediately Move 1 Space."/>
  </r>
  <r>
    <x v="5"/>
    <x v="194"/>
    <n v="2"/>
    <x v="2"/>
    <s v="Ashen Mace"/>
    <n v="2"/>
    <s v="Melee Attack"/>
    <x v="2"/>
    <n v="4"/>
    <m/>
    <m/>
    <m/>
    <s v="If this deals any Wounds, choose and exhaust one of the target's cards."/>
  </r>
  <r>
    <x v="5"/>
    <x v="195"/>
    <n v="2"/>
    <x v="2"/>
    <s v="Dual Katar"/>
    <n v="1"/>
    <s v="Melee Attack"/>
    <x v="12"/>
    <n v="4"/>
    <m/>
    <m/>
    <m/>
    <s v="May be exhausted twice."/>
  </r>
  <r>
    <x v="5"/>
    <x v="196"/>
    <n v="1"/>
    <x v="2"/>
    <s v="Nefarious Stomp"/>
    <n v="7"/>
    <s v="Melee Attack"/>
    <x v="2"/>
    <n v="6"/>
    <m/>
    <m/>
    <m/>
    <s v="To use this, the Hero takes 1 Damnation. If this deals any Wounds, your target is dazed."/>
  </r>
  <r>
    <x v="5"/>
    <x v="197"/>
    <n v="2"/>
    <x v="2"/>
    <s v="Brittany Bow"/>
    <n v="3"/>
    <s v="Ranged Attack"/>
    <x v="3"/>
    <n v="4"/>
    <m/>
    <m/>
    <m/>
    <s v="This Hero may take 1 Damnation to roll +1 die for this attack."/>
  </r>
  <r>
    <x v="5"/>
    <x v="198"/>
    <n v="2"/>
    <x v="2"/>
    <s v="Golden Chakram"/>
    <n v="3"/>
    <s v="Ranged Attack"/>
    <x v="10"/>
    <n v="4"/>
    <m/>
    <m/>
    <m/>
    <s v="When attacking a Close Enemy, hits on Melee icons instead of Ranged Icons."/>
  </r>
  <r>
    <x v="5"/>
    <x v="199"/>
    <n v="2"/>
    <x v="2"/>
    <s v="Grimbolt II"/>
    <n v="3"/>
    <s v="Ranged Attack"/>
    <x v="4"/>
    <n v="4"/>
    <m/>
    <m/>
    <m/>
    <s v="If this deals any Wounds, this Hero may take 2 Damnation to deal 1 additional Wound."/>
  </r>
  <r>
    <x v="5"/>
    <x v="200"/>
    <n v="1"/>
    <x v="2"/>
    <s v="Searing II"/>
    <n v="4"/>
    <s v="Ranged Attack"/>
    <x v="4"/>
    <n v="2"/>
    <m/>
    <m/>
    <m/>
    <s v="If this rolls any Hits against a Hero, Saves scored by the Defense roll count as Wounds against him instead."/>
  </r>
  <r>
    <x v="5"/>
    <x v="201"/>
    <n v="2"/>
    <x v="2"/>
    <s v="Chasten"/>
    <n v="4"/>
    <s v="Ranged Attack"/>
    <x v="4"/>
    <n v="4"/>
    <m/>
    <m/>
    <m/>
    <s v="This attack rolls +1 die if the target Hero has any Damnation."/>
  </r>
  <r>
    <x v="5"/>
    <x v="202"/>
    <n v="1"/>
    <x v="2"/>
    <s v="Healing Bracer II"/>
    <n v="0"/>
    <s v="Boost"/>
    <x v="8"/>
    <m/>
    <m/>
    <m/>
    <m/>
    <s v="Each Wound dealt by the boosted Melee Attack heals 2 Wounds from this Hero."/>
  </r>
  <r>
    <x v="5"/>
    <x v="203"/>
    <n v="1"/>
    <x v="2"/>
    <s v="Wand of Swiftness"/>
    <n v="4"/>
    <s v="Boost"/>
    <x v="8"/>
    <m/>
    <m/>
    <m/>
    <m/>
    <s v="+1 die to a Magic attack card. After the attack, this Hero gains 1 extra Movement Point to use this turn."/>
  </r>
  <r>
    <x v="5"/>
    <x v="204"/>
    <n v="1"/>
    <x v="2"/>
    <s v="Blond Elf Gloves"/>
    <n v="3"/>
    <s v="Boost"/>
    <x v="8"/>
    <m/>
    <m/>
    <m/>
    <m/>
    <s v="+1 die to one non-Magic Ranged attack card. Do not exhaust the boosted card."/>
  </r>
  <r>
    <x v="5"/>
    <x v="205"/>
    <n v="2"/>
    <x v="2"/>
    <s v="Profane Shield"/>
    <n v="6"/>
    <s v="Permanent"/>
    <x v="9"/>
    <m/>
    <n v="4"/>
    <m/>
    <n v="1"/>
    <s v="This Hero may take 1 Damnation to roll an extra Defense die."/>
  </r>
  <r>
    <x v="5"/>
    <x v="206"/>
    <n v="2"/>
    <x v="2"/>
    <s v="Cloven Hoof II"/>
    <n v="0"/>
    <s v="Permanent"/>
    <x v="5"/>
    <m/>
    <m/>
    <n v="2"/>
    <n v="2"/>
    <s v="At the start of his activation, this Hero may take 1 Damnation to heal 2 Wounds."/>
  </r>
  <r>
    <x v="5"/>
    <x v="207"/>
    <n v="2"/>
    <x v="2"/>
    <s v="Batter Up!"/>
    <n v="4"/>
    <s v="Permanent"/>
    <x v="7"/>
    <m/>
    <m/>
    <m/>
    <m/>
    <s v="If your attack rolls any Crit, you may activate another Allied Hero this turn."/>
  </r>
  <r>
    <x v="5"/>
    <x v="208"/>
    <n v="1"/>
    <x v="2"/>
    <s v="Thorny Bracer"/>
    <n v="7"/>
    <s v="Permanent"/>
    <x v="8"/>
    <m/>
    <m/>
    <m/>
    <m/>
    <s v="Each Hit cancelled by this Hero's Defense roll deals 1 Wound and 1 Damnation to the attacking Hero."/>
  </r>
  <r>
    <x v="5"/>
    <x v="209"/>
    <n v="1"/>
    <x v="3"/>
    <s v="Megablade"/>
    <n v="7"/>
    <s v="Melee Attack"/>
    <x v="0"/>
    <n v="6"/>
    <m/>
    <m/>
    <n v="3"/>
    <m/>
  </r>
  <r>
    <x v="5"/>
    <x v="210"/>
    <n v="2"/>
    <x v="3"/>
    <s v="Mourning Star"/>
    <n v="2"/>
    <s v="Melee Attack"/>
    <x v="2"/>
    <n v="5"/>
    <m/>
    <m/>
    <m/>
    <s v="If this deals any Wounds, choose and exhaust one of the target's cards."/>
  </r>
  <r>
    <x v="5"/>
    <x v="211"/>
    <n v="2"/>
    <x v="3"/>
    <s v="Maleficent Trident"/>
    <n v="4"/>
    <s v="Melee Attack"/>
    <x v="11"/>
    <n v="5"/>
    <m/>
    <m/>
    <m/>
    <s v="For any attack this Hero makes, he may take 2 Damnation to roll +2 die."/>
  </r>
  <r>
    <x v="5"/>
    <x v="212"/>
    <n v="1"/>
    <x v="3"/>
    <s v="Widow's Lament"/>
    <n v="7"/>
    <s v="Ranged Attack"/>
    <x v="3"/>
    <n v="3"/>
    <m/>
    <m/>
    <m/>
    <s v="Roll an extra die for each Hit obtained from a non-Crit result."/>
  </r>
  <r>
    <x v="5"/>
    <x v="213"/>
    <n v="1"/>
    <x v="3"/>
    <s v="Hateful Bow"/>
    <n v="7"/>
    <s v="Ranged Attack"/>
    <x v="3"/>
    <n v="6"/>
    <m/>
    <m/>
    <m/>
    <s v="To use this, the Hero takes 1 Damnation."/>
  </r>
  <r>
    <x v="5"/>
    <x v="214"/>
    <n v="2"/>
    <x v="3"/>
    <s v="Shockwave II"/>
    <n v="3"/>
    <s v="Melee Attack"/>
    <x v="4"/>
    <n v="5"/>
    <m/>
    <m/>
    <m/>
    <s v="If this rolls any Crit, move target and 1 extra Close Enemy up to 4 Spaces (this move doesn't trigger Guard Reaction)."/>
  </r>
  <r>
    <x v="5"/>
    <x v="215"/>
    <n v="1"/>
    <x v="3"/>
    <s v="Cleansing Glow II"/>
    <n v="5"/>
    <s v="Ranged Attack"/>
    <x v="4"/>
    <n v="6"/>
    <m/>
    <m/>
    <m/>
    <s v="For each Wound this deals, remove 1 Damnation from this Hero or from one Close Ally."/>
  </r>
  <r>
    <x v="5"/>
    <x v="216"/>
    <n v="2"/>
    <x v="3"/>
    <s v="Lifebound III"/>
    <n v="4"/>
    <s v="Ranged Attack"/>
    <x v="4"/>
    <n v="5"/>
    <m/>
    <m/>
    <m/>
    <s v="Each Hit heals 1 Wound from this Hero and all Allies Close to the target."/>
  </r>
  <r>
    <x v="5"/>
    <x v="217"/>
    <n v="1"/>
    <x v="3"/>
    <s v="Blond Elf Gloves II"/>
    <n v="3"/>
    <s v="Boost"/>
    <x v="8"/>
    <m/>
    <m/>
    <m/>
    <m/>
    <s v="+2 dice to one non-Magic Ranged attack card. Do not exhaust the boosted card."/>
  </r>
  <r>
    <x v="5"/>
    <x v="218"/>
    <n v="1"/>
    <x v="3"/>
    <s v="Angelic Ring II"/>
    <n v="3"/>
    <s v="Boost"/>
    <x v="5"/>
    <m/>
    <m/>
    <m/>
    <m/>
    <s v="+2 dice to one Attack card."/>
  </r>
  <r>
    <x v="5"/>
    <x v="219"/>
    <n v="1"/>
    <x v="3"/>
    <s v="Unholy Shield"/>
    <n v="5"/>
    <s v="Permanent"/>
    <x v="9"/>
    <m/>
    <n v="3"/>
    <m/>
    <n v="3"/>
    <s v="This Hero may take 1 Damnation to roll an extra Defense die."/>
  </r>
  <r>
    <x v="5"/>
    <x v="220"/>
    <n v="2"/>
    <x v="3"/>
    <s v="Unholy Plate"/>
    <n v="6"/>
    <s v="Permanent"/>
    <x v="6"/>
    <m/>
    <n v="4"/>
    <n v="2"/>
    <m/>
    <s v="Limit 1 armor per Hero."/>
  </r>
  <r>
    <x v="5"/>
    <x v="221"/>
    <n v="1"/>
    <x v="3"/>
    <s v="Crusader Shot II"/>
    <n v="1"/>
    <s v="Permanent"/>
    <x v="7"/>
    <m/>
    <m/>
    <m/>
    <m/>
    <s v="Your Bow and Thrown Weapon attacks roll +2 dice if the target has any Damnation."/>
  </r>
  <r>
    <x v="5"/>
    <x v="222"/>
    <n v="1"/>
    <x v="3"/>
    <s v="Crusader Strike II"/>
    <n v="1"/>
    <s v="Permanent"/>
    <x v="7"/>
    <m/>
    <m/>
    <m/>
    <m/>
    <s v="Your Sword and Exotic attacks roll +2 dice if the target has any Damnation."/>
  </r>
  <r>
    <x v="5"/>
    <x v="223"/>
    <n v="1"/>
    <x v="3"/>
    <s v="Drive Thru II"/>
    <n v="1"/>
    <s v="Permanent"/>
    <x v="7"/>
    <m/>
    <m/>
    <m/>
    <m/>
    <s v="Your Lance and Exotic attacks may target all Enemies Close to this Hero."/>
  </r>
  <r>
    <x v="5"/>
    <x v="224"/>
    <n v="1"/>
    <x v="3"/>
    <s v="Redemption Glass II"/>
    <n v="8"/>
    <s v="Permanent"/>
    <x v="5"/>
    <m/>
    <m/>
    <m/>
    <m/>
    <s v="At the start of your turn, this Hero heals 2 Wounds and 2 Damnation."/>
  </r>
  <r>
    <x v="5"/>
    <x v="225"/>
    <n v="2"/>
    <x v="3"/>
    <s v="Vicious Ring II"/>
    <n v="0"/>
    <s v="Permanent"/>
    <x v="5"/>
    <m/>
    <m/>
    <m/>
    <n v="4"/>
    <s v="This Hero may take 1 Damnation to gain an extra Reroll."/>
  </r>
  <r>
    <x v="5"/>
    <x v="226"/>
    <n v="1"/>
    <x v="3"/>
    <s v="Sophie's Chalice"/>
    <n v="8"/>
    <s v="Permanent"/>
    <x v="5"/>
    <m/>
    <m/>
    <m/>
    <m/>
    <s v="Before you attack a Hero, the target must choose: take 3 Damnation or double the Wounds he suffers."/>
  </r>
  <r>
    <x v="5"/>
    <x v="227"/>
    <n v="1"/>
    <x v="4"/>
    <s v="Uberblade"/>
    <n v="7"/>
    <s v="Melee Attack"/>
    <x v="0"/>
    <n v="6"/>
    <n v="3"/>
    <m/>
    <m/>
    <m/>
  </r>
  <r>
    <x v="5"/>
    <x v="228"/>
    <n v="2"/>
    <x v="4"/>
    <s v="Ball Breaker"/>
    <n v="4"/>
    <s v="Melee Attack"/>
    <x v="2"/>
    <n v="5"/>
    <m/>
    <m/>
    <m/>
    <s v="If this deals any Wounds, exhaust all of the target's cards."/>
  </r>
  <r>
    <x v="5"/>
    <x v="229"/>
    <n v="2"/>
    <x v="4"/>
    <s v="Trine Katar"/>
    <n v="1"/>
    <s v="Melee Attack"/>
    <x v="12"/>
    <n v="5"/>
    <m/>
    <m/>
    <m/>
    <s v="May be exhausted twice."/>
  </r>
  <r>
    <x v="5"/>
    <x v="230"/>
    <n v="2"/>
    <x v="4"/>
    <s v="Viper Bow"/>
    <n v="2"/>
    <s v="Ranged Attack"/>
    <x v="3"/>
    <n v="5"/>
    <m/>
    <m/>
    <m/>
    <s v="This Hero may take 2 Damnation to roll +2 dice for this attack."/>
  </r>
  <r>
    <x v="5"/>
    <x v="231"/>
    <n v="2"/>
    <x v="4"/>
    <s v="Neon Chakram"/>
    <n v="2"/>
    <s v="Ranged Attack"/>
    <x v="10"/>
    <n v="5"/>
    <m/>
    <m/>
    <m/>
    <s v="When attacking a Close Enemy, hits on Melee icons instead of Ranged Icons."/>
  </r>
  <r>
    <x v="5"/>
    <x v="232"/>
    <n v="2"/>
    <x v="4"/>
    <s v="Shockwave III"/>
    <n v="3"/>
    <s v="Melee Attack"/>
    <x v="4"/>
    <n v="5"/>
    <m/>
    <m/>
    <m/>
    <s v="If this rolls any Crit, move the target and all Close Enemies up to 4 Spaces (this move doesn't trigger Guard Reaction)."/>
  </r>
  <r>
    <x v="5"/>
    <x v="233"/>
    <n v="1"/>
    <x v="4"/>
    <s v="Grimbolt III"/>
    <n v="3"/>
    <s v="Ranged Attack"/>
    <x v="4"/>
    <n v="5"/>
    <m/>
    <m/>
    <m/>
    <s v="If this deals any Wounds, this Hero may take 2 Damnation to deal 1 additional Wound."/>
  </r>
  <r>
    <x v="5"/>
    <x v="234"/>
    <n v="1"/>
    <x v="4"/>
    <s v="Chasten III"/>
    <n v="5"/>
    <s v="Ranged Attack"/>
    <x v="4"/>
    <n v="5"/>
    <m/>
    <m/>
    <m/>
    <s v="This attack rolls +2 dice if the target Hero has any Damnation."/>
  </r>
  <r>
    <x v="5"/>
    <x v="235"/>
    <n v="2"/>
    <x v="4"/>
    <s v="Angelic Ring III"/>
    <n v="4"/>
    <s v="Boost"/>
    <x v="5"/>
    <m/>
    <m/>
    <m/>
    <m/>
    <s v="+3 dice to one Attack card."/>
  </r>
  <r>
    <x v="5"/>
    <x v="236"/>
    <n v="1"/>
    <x v="4"/>
    <s v="Wand of Swiftness II"/>
    <n v="4"/>
    <s v="Boost"/>
    <x v="8"/>
    <m/>
    <m/>
    <m/>
    <m/>
    <s v="+2 dice to a Magic attack card. After the attack, this Hero gains 1 extra Movement Point to use this turn."/>
  </r>
  <r>
    <x v="5"/>
    <x v="237"/>
    <n v="2"/>
    <x v="4"/>
    <s v="Ultraviolent Shield"/>
    <n v="6"/>
    <s v="Permanent"/>
    <x v="9"/>
    <m/>
    <n v="4"/>
    <m/>
    <n v="4"/>
    <s v="This Hero may take 2 Damnation to roll an extra +2 Defense dice."/>
  </r>
  <r>
    <x v="5"/>
    <x v="238"/>
    <n v="2"/>
    <x v="4"/>
    <s v="Ultraviolent Plate"/>
    <n v="8"/>
    <s v="Permanent"/>
    <x v="6"/>
    <m/>
    <n v="6"/>
    <n v="4"/>
    <m/>
    <s v="Limit 1 armor per Hero."/>
  </r>
  <r>
    <x v="5"/>
    <x v="239"/>
    <n v="1"/>
    <x v="4"/>
    <s v="Grand Finale"/>
    <n v="0"/>
    <s v="Permanent"/>
    <x v="5"/>
    <m/>
    <m/>
    <m/>
    <m/>
    <s v="If this Hero dies, all Close Enemies take 2 Wounds each."/>
  </r>
  <r>
    <x v="5"/>
    <x v="240"/>
    <n v="1"/>
    <x v="4"/>
    <s v="Twinspell"/>
    <n v="5"/>
    <s v="Permanent"/>
    <x v="7"/>
    <m/>
    <m/>
    <m/>
    <m/>
    <s v="This Hero may take 2 Damnation before rolling so his Magic attack may target an extra Enemy in Line of Sight."/>
  </r>
  <r>
    <x v="5"/>
    <x v="241"/>
    <n v="1"/>
    <x v="4"/>
    <s v="Last Wish"/>
    <n v="0"/>
    <s v="Permanent"/>
    <x v="5"/>
    <m/>
    <m/>
    <m/>
    <s v="X"/>
    <s v="X = Total Wounds on this Hero."/>
  </r>
  <r>
    <x v="5"/>
    <x v="242"/>
    <n v="1"/>
    <x v="5"/>
    <s v="Powah Pendant"/>
    <n v="7"/>
    <s v="Permanent"/>
    <x v="5"/>
    <m/>
    <m/>
    <m/>
    <m/>
    <s v="+2 dice on all rolls."/>
  </r>
  <r>
    <x v="5"/>
    <x v="243"/>
    <n v="2"/>
    <x v="5"/>
    <s v="Piercing Judgement"/>
    <m/>
    <s v="Ranged Attack"/>
    <x v="3"/>
    <n v="4"/>
    <m/>
    <m/>
    <m/>
    <s v="This rolls +2 dice if the target Hero has any Damnation."/>
  </r>
  <r>
    <x v="5"/>
    <x v="244"/>
    <n v="2"/>
    <x v="5"/>
    <s v="The Finisher"/>
    <m/>
    <s v="Melee Attack"/>
    <x v="0"/>
    <n v="4"/>
    <m/>
    <m/>
    <m/>
    <s v="This rolls +1 die for each Wound the target Hero has."/>
  </r>
  <r>
    <x v="5"/>
    <x v="245"/>
    <n v="2"/>
    <x v="5"/>
    <s v="Swapstone"/>
    <m/>
    <s v="Permanent"/>
    <x v="5"/>
    <m/>
    <m/>
    <m/>
    <m/>
    <s v="Before any attack, choose 2 enemies within Line of Sight and switch their places."/>
  </r>
  <r>
    <x v="5"/>
    <x v="246"/>
    <n v="2"/>
    <x v="5"/>
    <s v="Collector's Plate"/>
    <m/>
    <s v="Permanent"/>
    <x v="6"/>
    <m/>
    <n v="2"/>
    <n v="2"/>
    <m/>
    <s v="Limit 1 armor per Hero. +2 Defense dice for each Gear this Hero has equipped."/>
  </r>
  <r>
    <x v="5"/>
    <x v="247"/>
    <n v="2"/>
    <x v="5"/>
    <s v="Hallowed Flask"/>
    <m/>
    <s v="Permanent"/>
    <x v="5"/>
    <m/>
    <m/>
    <m/>
    <m/>
    <s v="Allies that enter this Hero's Space may remove all Damnation."/>
  </r>
  <r>
    <x v="5"/>
    <x v="248"/>
    <n v="2"/>
    <x v="5"/>
    <s v="Rock Bottom Helm"/>
    <m/>
    <s v="Permanent"/>
    <x v="8"/>
    <m/>
    <n v="2"/>
    <m/>
    <n v="2"/>
    <s v="Once per activation, activate a Minion of any type in Line of Sight, performing only its Movement."/>
  </r>
  <r>
    <x v="5"/>
    <x v="249"/>
    <n v="4"/>
    <x v="6"/>
    <s v="Dusty Blade"/>
    <m/>
    <s v="Melee Attack"/>
    <x v="0"/>
    <n v="3"/>
    <m/>
    <m/>
    <m/>
    <m/>
  </r>
  <r>
    <x v="5"/>
    <x v="250"/>
    <n v="4"/>
    <x v="6"/>
    <s v="Vile Trident"/>
    <m/>
    <s v="Melee Attack"/>
    <x v="11"/>
    <n v="2"/>
    <m/>
    <m/>
    <m/>
    <s v="For any attack this Hero makes, he may take 1 Damnation to roll +1 die."/>
  </r>
  <r>
    <x v="5"/>
    <x v="251"/>
    <n v="4"/>
    <x v="6"/>
    <s v="Short Bow"/>
    <m/>
    <s v="Ranged Attack"/>
    <x v="3"/>
    <n v="2"/>
    <m/>
    <m/>
    <m/>
    <m/>
  </r>
  <r>
    <x v="5"/>
    <x v="252"/>
    <n v="4"/>
    <x v="6"/>
    <s v="Grimbolt"/>
    <m/>
    <s v="Ranged Attack"/>
    <x v="4"/>
    <n v="2"/>
    <m/>
    <m/>
    <m/>
    <s v="If this deals any Wounds, this Hero may take 2 Damnation to deal 1 additional Wound."/>
  </r>
  <r>
    <x v="5"/>
    <x v="253"/>
    <n v="4"/>
    <x v="6"/>
    <s v="Lifebound"/>
    <m/>
    <s v="Ranged Attack"/>
    <x v="4"/>
    <n v="2"/>
    <m/>
    <m/>
    <m/>
    <s v="Each Hit heals 1 Wound from this Hero or from one Ally Close to the target."/>
  </r>
  <r>
    <x v="6"/>
    <x v="254"/>
    <n v="2"/>
    <x v="0"/>
    <s v="Treat"/>
    <n v="0"/>
    <s v="Pet Item"/>
    <x v="8"/>
    <m/>
    <m/>
    <n v="2"/>
    <m/>
    <m/>
  </r>
  <r>
    <x v="6"/>
    <x v="255"/>
    <n v="2"/>
    <x v="1"/>
    <s v="Pet Healing"/>
    <n v="2"/>
    <s v="Pet Item"/>
    <x v="7"/>
    <m/>
    <m/>
    <m/>
    <m/>
    <s v="Whenever this Pet ends its movement Close to an Owner, heal 1 Wound from this Pet and this Owner."/>
  </r>
  <r>
    <x v="6"/>
    <x v="256"/>
    <n v="2"/>
    <x v="2"/>
    <s v="Intimidate"/>
    <n v="3"/>
    <s v="Pet Item"/>
    <x v="7"/>
    <m/>
    <m/>
    <m/>
    <m/>
    <s v="Deal 1 Wound to Enemies that leave a Space Close to this Pet (limit 1 Wound per Enemy per turn)."/>
  </r>
  <r>
    <x v="6"/>
    <x v="257"/>
    <n v="2"/>
    <x v="3"/>
    <s v="Fetching Stick"/>
    <n v="2"/>
    <s v="Ranged Attack"/>
    <x v="10"/>
    <n v="4"/>
    <m/>
    <m/>
    <m/>
    <s v="May place one of your Pets Close to the target before rolling this attack."/>
  </r>
  <r>
    <x v="6"/>
    <x v="258"/>
    <n v="2"/>
    <x v="4"/>
    <s v="Leash"/>
    <n v="1"/>
    <s v="Pet Item"/>
    <x v="8"/>
    <m/>
    <m/>
    <m/>
    <m/>
    <s v="Close Enemy Pets lose their Natural Ability."/>
  </r>
  <r>
    <x v="6"/>
    <x v="259"/>
    <n v="2"/>
    <x v="5"/>
    <s v="Enrage"/>
    <m/>
    <s v="Pet Item"/>
    <x v="7"/>
    <m/>
    <m/>
    <m/>
    <m/>
    <s v="Exhaust Pet to deal 1 Wound to 1 Enemy in each Space the Pet enters this turn (limit 1 Wound per Enemy)."/>
  </r>
  <r>
    <x v="6"/>
    <x v="260"/>
    <n v="2"/>
    <x v="5"/>
    <s v="Pet Armor"/>
    <m/>
    <s v="Pet Item"/>
    <x v="8"/>
    <m/>
    <n v="3"/>
    <m/>
    <m/>
    <m/>
  </r>
  <r>
    <x v="6"/>
    <x v="261"/>
    <n v="2"/>
    <x v="5"/>
    <s v="Squeaky Toy"/>
    <m/>
    <s v="Pet Item"/>
    <x v="8"/>
    <m/>
    <m/>
    <m/>
    <m/>
    <s v="Only Crit on Attack dice score a Hit against this Pet."/>
  </r>
  <r>
    <x v="6"/>
    <x v="262"/>
    <n v="2"/>
    <x v="5"/>
    <s v="Altered Beast"/>
    <m/>
    <s v="Permanent"/>
    <x v="7"/>
    <m/>
    <m/>
    <m/>
    <m/>
    <s v="This Hero gains the Natural Ability of all Pets in his Guild (not counting as an Owner for these abilities)."/>
  </r>
  <r>
    <x v="6"/>
    <x v="263"/>
    <n v="2"/>
    <x v="5"/>
    <s v="Pet Whistle"/>
    <m/>
    <s v="Pet Item"/>
    <x v="8"/>
    <m/>
    <m/>
    <m/>
    <m/>
    <s v="This Pet gets 2 extra Movement Points each turn."/>
  </r>
  <r>
    <x v="7"/>
    <x v="264"/>
    <n v="2"/>
    <x v="7"/>
    <s v="Thunderstruck"/>
    <n v="4"/>
    <s v="Melee Attack"/>
    <x v="2"/>
    <n v="6"/>
    <m/>
    <m/>
    <m/>
    <s v="If this deals any Wounds, the target and all Enemies Close to it are Dazed."/>
  </r>
  <r>
    <x v="7"/>
    <x v="265"/>
    <n v="2"/>
    <x v="7"/>
    <s v="Dragon Crossbow"/>
    <n v="8"/>
    <s v="Ranged Attack"/>
    <x v="15"/>
    <n v="7"/>
    <m/>
    <m/>
    <m/>
    <s v="Rolls +1 Attack die per other Dragon card that this Hero has equipped."/>
  </r>
  <r>
    <x v="7"/>
    <x v="266"/>
    <n v="2"/>
    <x v="7"/>
    <s v="Platinum Chakram"/>
    <n v="1"/>
    <s v="Ranged Attack"/>
    <x v="10"/>
    <n v="6"/>
    <m/>
    <m/>
    <m/>
    <s v="When attacking a Close Enemy, hits on Melee icons instead of Ranged Icons."/>
  </r>
  <r>
    <x v="7"/>
    <x v="267"/>
    <n v="2"/>
    <x v="7"/>
    <s v="Bone Ripper"/>
    <n v="3"/>
    <s v="Melee Attack"/>
    <x v="11"/>
    <n v="6"/>
    <m/>
    <m/>
    <m/>
    <s v="May target all Enemies Close to this Hero."/>
  </r>
  <r>
    <x v="7"/>
    <x v="268"/>
    <n v="2"/>
    <x v="7"/>
    <s v="Shockwave IV"/>
    <n v="3"/>
    <s v="Melee Attack"/>
    <x v="4"/>
    <n v="6"/>
    <m/>
    <m/>
    <m/>
    <s v="If this rolls any Crit, move target and all Close Enemies up to 4 Spaces (this move doesn't trigger Guard Reaction)."/>
  </r>
  <r>
    <x v="7"/>
    <x v="269"/>
    <n v="2"/>
    <x v="7"/>
    <s v="Lifedrain IV"/>
    <n v="4"/>
    <s v="Ranged Attack"/>
    <x v="4"/>
    <n v="6"/>
    <m/>
    <m/>
    <m/>
    <s v="If this deals any Hits, heal all Wounds from this Hero OR a Close Ally."/>
  </r>
  <r>
    <x v="7"/>
    <x v="270"/>
    <n v="1"/>
    <x v="7"/>
    <s v="High Voltage"/>
    <n v="4"/>
    <s v="Ranged Attack"/>
    <x v="4"/>
    <n v="6"/>
    <m/>
    <m/>
    <m/>
    <s v="You may exhaust a second Attack card from this Hero to roll +3 dice for this attack."/>
  </r>
  <r>
    <x v="7"/>
    <x v="271"/>
    <n v="1"/>
    <x v="7"/>
    <s v="Angelic Ring IV"/>
    <n v="4"/>
    <s v="Boost"/>
    <x v="5"/>
    <m/>
    <m/>
    <m/>
    <m/>
    <s v="+4 dice to one Attack card."/>
  </r>
  <r>
    <x v="7"/>
    <x v="272"/>
    <n v="1"/>
    <x v="7"/>
    <s v="Crushing Gauntlet"/>
    <n v="3"/>
    <s v="Boost"/>
    <x v="8"/>
    <m/>
    <m/>
    <m/>
    <m/>
    <s v="+3 dice to a non-Magic Melee attack. This Hero takes 2 Wounds."/>
  </r>
  <r>
    <x v="7"/>
    <x v="273"/>
    <n v="1"/>
    <x v="7"/>
    <s v="Blazing Shot II"/>
    <n v="3"/>
    <s v="Boost"/>
    <x v="8"/>
    <m/>
    <m/>
    <m/>
    <m/>
    <s v="+3 dice to a Bow attack. This Hero takes 2 Wounds."/>
  </r>
  <r>
    <x v="7"/>
    <x v="274"/>
    <n v="2"/>
    <x v="7"/>
    <s v="Dragon Gauntlet"/>
    <n v="8"/>
    <s v="Permanent"/>
    <x v="14"/>
    <m/>
    <n v="4"/>
    <m/>
    <n v="4"/>
    <s v="May exhaust each card one extra time per Dragon card this Hero has equipped."/>
  </r>
  <r>
    <x v="7"/>
    <x v="275"/>
    <n v="2"/>
    <x v="7"/>
    <s v="Stinky Mail"/>
    <n v="2"/>
    <s v="Permanent"/>
    <x v="6"/>
    <m/>
    <n v="1"/>
    <n v="2"/>
    <n v="3"/>
    <s v="Limit 1 armor per Hero."/>
  </r>
  <r>
    <x v="7"/>
    <x v="276"/>
    <n v="1"/>
    <x v="7"/>
    <s v="Stabilizing Bracer"/>
    <n v="1"/>
    <s v="Permanent"/>
    <x v="8"/>
    <m/>
    <m/>
    <m/>
    <m/>
    <s v="Each Wound this Hero deals removes 1 Frost/Fire/Chaos/Poison token from this Hero or another Hero in Line of Sight."/>
  </r>
  <r>
    <x v="7"/>
    <x v="277"/>
    <n v="2"/>
    <x v="7"/>
    <s v="Charm Bracelet"/>
    <n v="0"/>
    <s v="Permanent"/>
    <x v="8"/>
    <m/>
    <m/>
    <m/>
    <m/>
    <s v="This Hero gets all Rerolls available to all Heroes Close to him."/>
  </r>
  <r>
    <x v="7"/>
    <x v="278"/>
    <n v="1"/>
    <x v="7"/>
    <s v="Armageddon Crown"/>
    <n v="7"/>
    <s v="Permanent"/>
    <x v="5"/>
    <m/>
    <m/>
    <m/>
    <m/>
    <s v="At the start of your activation, you may deal 2 Wounds to any Close Enemies."/>
  </r>
  <r>
    <x v="7"/>
    <x v="279"/>
    <n v="1"/>
    <x v="5"/>
    <s v="Death In A Box"/>
    <m/>
    <s v="Ranged Attack"/>
    <x v="4"/>
    <n v="6"/>
    <m/>
    <m/>
    <m/>
    <s v="If this deals any Wounds, it may target one other enemy in an Outdoor Space."/>
  </r>
  <r>
    <x v="7"/>
    <x v="280"/>
    <n v="1"/>
    <x v="5"/>
    <s v="The Alpha Ring"/>
    <m/>
    <s v="Permanent"/>
    <x v="5"/>
    <m/>
    <m/>
    <m/>
    <m/>
    <s v="This Hero may move through Blocked Spaces and does not trigger Guard Reactions."/>
  </r>
  <r>
    <x v="7"/>
    <x v="131"/>
    <n v="1"/>
    <x v="8"/>
    <s v="Poison Breath"/>
    <m/>
    <s v="Ranged Attack"/>
    <x v="4"/>
    <n v="6"/>
    <m/>
    <n v="2"/>
    <m/>
    <s v="+2 Movement Points."/>
  </r>
  <r>
    <x v="8"/>
    <x v="281"/>
    <n v="2"/>
    <x v="0"/>
    <s v="War Mallet"/>
    <n v="2"/>
    <s v="Melee Attack"/>
    <x v="2"/>
    <n v="3"/>
    <m/>
    <m/>
    <m/>
    <s v="If this deals any Wounds, the target is Dazed."/>
  </r>
  <r>
    <x v="8"/>
    <x v="282"/>
    <n v="2"/>
    <x v="0"/>
    <s v="Whip"/>
    <n v="2"/>
    <s v="Melee Attack"/>
    <x v="12"/>
    <n v="3"/>
    <m/>
    <m/>
    <m/>
    <s v="If this rolls any Crit, the target can't use Rerolls on the Defense roll."/>
  </r>
  <r>
    <x v="8"/>
    <x v="283"/>
    <n v="2"/>
    <x v="0"/>
    <s v="Stirrup"/>
    <n v="0"/>
    <s v="Mount Item"/>
    <x v="8"/>
    <m/>
    <m/>
    <m/>
    <m/>
    <s v="Mounting and dismounting this Mount does not cost a Movement Point."/>
  </r>
  <r>
    <x v="8"/>
    <x v="284"/>
    <n v="2"/>
    <x v="1"/>
    <s v="Javelin"/>
    <n v="5"/>
    <s v="Ranged Attack"/>
    <x v="10"/>
    <n v="4"/>
    <m/>
    <m/>
    <m/>
    <s v="Rolls +1 die against Minions of any type."/>
  </r>
  <r>
    <x v="8"/>
    <x v="285"/>
    <n v="2"/>
    <x v="1"/>
    <s v="Sunbeam"/>
    <n v="4"/>
    <s v="Ranged Attack"/>
    <x v="4"/>
    <n v="3"/>
    <m/>
    <m/>
    <m/>
    <s v="May target any Hero in an Outdoor Space (no Line of Sight required)"/>
  </r>
  <r>
    <x v="8"/>
    <x v="286"/>
    <n v="2"/>
    <x v="1"/>
    <s v="Barbarian Bridle"/>
    <n v="3"/>
    <s v="Mount Item"/>
    <x v="8"/>
    <m/>
    <m/>
    <m/>
    <m/>
    <s v="Rider gets +1 die to every attack."/>
  </r>
  <r>
    <x v="8"/>
    <x v="287"/>
    <n v="2"/>
    <x v="2"/>
    <s v="Cool Whip"/>
    <n v="2"/>
    <s v="Melee Attack"/>
    <x v="12"/>
    <n v="4"/>
    <m/>
    <m/>
    <m/>
    <s v="If this rolls any Crit, the target can't use Rerolls on the Defense roll."/>
  </r>
  <r>
    <x v="8"/>
    <x v="288"/>
    <n v="2"/>
    <x v="2"/>
    <s v="Mount Whisperer"/>
    <n v="4"/>
    <s v="Ranged Attack"/>
    <x v="4"/>
    <n v="4"/>
    <m/>
    <m/>
    <m/>
    <s v="If this rolls any Crit against a Mount, may move it up to 3 spaces (this Move doesn't trigger Guard Reactions)."/>
  </r>
  <r>
    <x v="8"/>
    <x v="289"/>
    <n v="2"/>
    <x v="2"/>
    <s v="Mount Plate"/>
    <n v="2"/>
    <s v="Mount Item"/>
    <x v="6"/>
    <m/>
    <m/>
    <m/>
    <m/>
    <s v="Negates 1 Wound this Mount would take from every attack."/>
  </r>
  <r>
    <x v="8"/>
    <x v="290"/>
    <n v="5"/>
    <x v="3"/>
    <s v="Advanced Javelin"/>
    <n v="5"/>
    <s v="Ranged Attack"/>
    <x v="10"/>
    <n v="5"/>
    <m/>
    <m/>
    <m/>
    <s v="Rolls +1 die against Minions of any type."/>
  </r>
  <r>
    <x v="8"/>
    <x v="291"/>
    <n v="2"/>
    <x v="3"/>
    <s v="Sunbeam II"/>
    <n v="4"/>
    <s v="Ranged Attack"/>
    <x v="4"/>
    <n v="4"/>
    <m/>
    <m/>
    <m/>
    <s v="May target any Hero in an Outdoor Space (no Line of Sight required)"/>
  </r>
  <r>
    <x v="8"/>
    <x v="292"/>
    <n v="2"/>
    <x v="3"/>
    <s v="Warden's Saddle"/>
    <n v="4"/>
    <s v="Mount Item"/>
    <x v="8"/>
    <m/>
    <n v="3"/>
    <m/>
    <m/>
    <m/>
  </r>
  <r>
    <x v="8"/>
    <x v="293"/>
    <n v="2"/>
    <x v="4"/>
    <s v="Epic Whip"/>
    <n v="2"/>
    <s v="Melee Attack"/>
    <x v="12"/>
    <n v="5"/>
    <m/>
    <m/>
    <m/>
    <s v="If this rolls any Crit, the target can't use Rerolls on the Defense roll."/>
  </r>
  <r>
    <x v="8"/>
    <x v="294"/>
    <n v="2"/>
    <x v="4"/>
    <s v="Mount Whisperer II"/>
    <n v="3"/>
    <s v="Ranged Attack"/>
    <x v="4"/>
    <n v="5"/>
    <m/>
    <m/>
    <m/>
    <s v="If this rolls any Crit against a Mount, may move it up to 3 spaces (this Move doesn't trigger Guard Reactions)."/>
  </r>
  <r>
    <x v="8"/>
    <x v="295"/>
    <n v="2"/>
    <x v="4"/>
    <s v="Mountshoe"/>
    <n v="5"/>
    <s v="Mount Item"/>
    <x v="8"/>
    <m/>
    <m/>
    <m/>
    <m/>
    <s v="At the start of your turn, both this Mount and its Rider heal 1 Wound."/>
  </r>
  <r>
    <x v="8"/>
    <x v="296"/>
    <n v="2"/>
    <x v="5"/>
    <s v="Stirr-it-up"/>
    <m/>
    <s v="Mount Item"/>
    <x v="8"/>
    <m/>
    <m/>
    <m/>
    <m/>
    <s v="When you activate a different hero, you may move this Mount and its Rider 1 Space."/>
  </r>
  <r>
    <x v="8"/>
    <x v="297"/>
    <n v="2"/>
    <x v="5"/>
    <s v="Hearty Pad"/>
    <m/>
    <s v="Mount Item"/>
    <x v="8"/>
    <m/>
    <m/>
    <n v="3"/>
    <m/>
    <m/>
  </r>
  <r>
    <x v="8"/>
    <x v="298"/>
    <n v="2"/>
    <x v="5"/>
    <s v="Comfy Saddle"/>
    <m/>
    <s v="Mount Item"/>
    <x v="8"/>
    <m/>
    <m/>
    <m/>
    <m/>
    <s v="This Mount may exhaust its Mount card twice."/>
  </r>
  <r>
    <x v="8"/>
    <x v="299"/>
    <n v="2"/>
    <x v="5"/>
    <s v="Warshoe"/>
    <m/>
    <s v="Mount Item"/>
    <x v="8"/>
    <m/>
    <m/>
    <m/>
    <m/>
    <s v="At the end of your turn, you may deal 1 Wound to any Close Enemies."/>
  </r>
  <r>
    <x v="8"/>
    <x v="300"/>
    <n v="2"/>
    <x v="5"/>
    <s v="Lucky Bridle"/>
    <m/>
    <s v="Mount Item"/>
    <x v="8"/>
    <m/>
    <m/>
    <m/>
    <n v="2"/>
    <m/>
  </r>
  <r>
    <x v="8"/>
    <x v="301"/>
    <n v="4"/>
    <x v="6"/>
    <s v="Mallet"/>
    <m/>
    <s v="Melee Attack"/>
    <x v="2"/>
    <n v="2"/>
    <m/>
    <m/>
    <m/>
    <s v="If this deals any Wounds, the target is Dazed."/>
  </r>
  <r>
    <x v="9"/>
    <x v="302"/>
    <n v="1"/>
    <x v="5"/>
    <s v="Ignos' Hammerhand"/>
    <m/>
    <s v="Melee Attack"/>
    <x v="2"/>
    <n v="5"/>
    <m/>
    <m/>
    <m/>
    <s v="Ignores 1 Save result on target's Defense roll."/>
  </r>
  <r>
    <x v="9"/>
    <x v="303"/>
    <n v="1"/>
    <x v="5"/>
    <s v="Lava Whip"/>
    <m/>
    <s v="Melee Attack"/>
    <x v="12"/>
    <n v="5"/>
    <m/>
    <m/>
    <m/>
    <s v="May take 1 Damnation to redirect the Minion's Payback Reaction to another Hero of your choice."/>
  </r>
  <r>
    <x v="10"/>
    <x v="304"/>
    <n v="4"/>
    <x v="6"/>
    <s v="Steady Slingshot"/>
    <m/>
    <s v="Ranged Attack"/>
    <x v="3"/>
    <n v="1"/>
    <m/>
    <m/>
    <m/>
    <s v="This rolls +2 dice if you don't perform your Move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D103" firstHeaderRow="2" firstDataRow="2" firstDataCol="3"/>
  <pivotFields count="13">
    <pivotField axis="axisRow" compact="0" outline="0" subtotalTop="0" showAll="0" includeNewItemsInFilter="1">
      <items count="12">
        <item x="10"/>
        <item x="0"/>
        <item x="1"/>
        <item x="2"/>
        <item x="3"/>
        <item x="4"/>
        <item x="5"/>
        <item x="6"/>
        <item x="7"/>
        <item x="8"/>
        <item x="9"/>
        <item t="default"/>
      </items>
    </pivotField>
    <pivotField compact="0" outline="0" subtotalTop="0" showAll="0" includeNewItemsInFilter="1">
      <items count="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49"/>
        <item x="150"/>
        <item x="151"/>
        <item x="152"/>
        <item x="153"/>
        <item x="154"/>
        <item x="155"/>
        <item x="156"/>
        <item x="157"/>
        <item x="158"/>
        <item x="159"/>
        <item x="160"/>
        <item x="161"/>
        <item x="162"/>
        <item x="163"/>
        <item x="164"/>
        <item x="165"/>
        <item x="132"/>
        <item x="133"/>
        <item x="134"/>
        <item x="135"/>
        <item x="136"/>
        <item x="137"/>
        <item x="138"/>
        <item x="139"/>
        <item x="140"/>
        <item x="141"/>
        <item x="142"/>
        <item x="143"/>
        <item x="144"/>
        <item x="145"/>
        <item x="146"/>
        <item x="147"/>
        <item x="148"/>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04"/>
        <item x="70"/>
        <item x="71"/>
        <item x="72"/>
        <item x="73"/>
        <item x="281"/>
        <item x="282"/>
        <item x="283"/>
        <item x="284"/>
        <item x="285"/>
        <item x="286"/>
        <item x="287"/>
        <item x="288"/>
        <item x="289"/>
        <item x="290"/>
        <item x="291"/>
        <item x="292"/>
        <item x="293"/>
        <item x="294"/>
        <item x="295"/>
        <item x="296"/>
        <item x="297"/>
        <item x="298"/>
        <item x="299"/>
        <item x="300"/>
        <item x="301"/>
        <item x="74"/>
        <item x="75"/>
        <item x="76"/>
        <item x="77"/>
        <item x="78"/>
        <item x="79"/>
        <item x="80"/>
        <item x="81"/>
        <item x="82"/>
        <item x="83"/>
        <item x="84"/>
        <item x="85"/>
        <item x="86"/>
        <item x="302"/>
        <item x="303"/>
        <item x="131"/>
        <item t="default"/>
      </items>
    </pivotField>
    <pivotField dataField="1" compact="0" outline="0" subtotalTop="0" showAll="0" includeNewItemsInFilter="1"/>
    <pivotField axis="axisRow" compact="0" outline="0" subtotalTop="0" showAll="0" includeNewItemsInFilter="1">
      <items count="10">
        <item x="0"/>
        <item x="1"/>
        <item x="2"/>
        <item x="3"/>
        <item x="4"/>
        <item x="7"/>
        <item x="8"/>
        <item x="5"/>
        <item x="6"/>
        <item t="default"/>
      </items>
    </pivotField>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19">
        <item sd="0" x="7"/>
        <item sd="0" x="6"/>
        <item sd="0" x="16"/>
        <item sd="0" x="1"/>
        <item sd="0" x="5"/>
        <item sd="0" x="3"/>
        <item sd="0" x="15"/>
        <item sd="0" x="12"/>
        <item sd="0" x="8"/>
        <item sd="0" x="14"/>
        <item sd="0" x="2"/>
        <item sd="0" x="11"/>
        <item sd="0" x="17"/>
        <item sd="0" x="4"/>
        <item sd="0" x="9"/>
        <item sd="0" x="0"/>
        <item sd="0" x="13"/>
        <item sd="0"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3">
    <field x="0"/>
    <field x="7"/>
    <field x="3"/>
  </rowFields>
  <rowItems count="99">
    <i>
      <x/>
      <x v="5"/>
    </i>
    <i t="default">
      <x/>
    </i>
    <i>
      <x v="1"/>
      <x/>
    </i>
    <i r="1">
      <x v="1"/>
    </i>
    <i r="1">
      <x v="3"/>
    </i>
    <i r="1">
      <x v="4"/>
    </i>
    <i r="1">
      <x v="5"/>
    </i>
    <i r="1">
      <x v="8"/>
    </i>
    <i r="1">
      <x v="10"/>
    </i>
    <i r="1">
      <x v="11"/>
    </i>
    <i r="1">
      <x v="13"/>
    </i>
    <i r="1">
      <x v="14"/>
    </i>
    <i r="1">
      <x v="15"/>
    </i>
    <i r="1">
      <x v="17"/>
    </i>
    <i t="default">
      <x v="1"/>
    </i>
    <i>
      <x v="2"/>
      <x/>
    </i>
    <i r="1">
      <x v="1"/>
    </i>
    <i r="1">
      <x v="3"/>
    </i>
    <i r="1">
      <x v="4"/>
    </i>
    <i r="1">
      <x v="5"/>
    </i>
    <i r="1">
      <x v="7"/>
    </i>
    <i r="1">
      <x v="8"/>
    </i>
    <i r="1">
      <x v="10"/>
    </i>
    <i r="1">
      <x v="11"/>
    </i>
    <i r="1">
      <x v="13"/>
    </i>
    <i r="1">
      <x v="14"/>
    </i>
    <i r="1">
      <x v="15"/>
    </i>
    <i r="1">
      <x v="17"/>
    </i>
    <i t="default">
      <x v="2"/>
    </i>
    <i>
      <x v="3"/>
      <x v="1"/>
    </i>
    <i r="1">
      <x v="3"/>
    </i>
    <i r="1">
      <x v="4"/>
    </i>
    <i r="1">
      <x v="5"/>
    </i>
    <i r="1">
      <x v="8"/>
    </i>
    <i r="1">
      <x v="9"/>
    </i>
    <i r="1">
      <x v="13"/>
    </i>
    <i r="1">
      <x v="15"/>
    </i>
    <i r="1">
      <x v="16"/>
    </i>
    <i r="1">
      <x v="17"/>
    </i>
    <i t="default">
      <x v="3"/>
    </i>
    <i>
      <x v="4"/>
      <x v="1"/>
    </i>
    <i r="1">
      <x v="2"/>
    </i>
    <i r="1">
      <x v="4"/>
    </i>
    <i r="1">
      <x v="5"/>
    </i>
    <i r="1">
      <x v="6"/>
    </i>
    <i r="1">
      <x v="8"/>
    </i>
    <i r="1">
      <x v="10"/>
    </i>
    <i r="1">
      <x v="13"/>
    </i>
    <i r="1">
      <x v="15"/>
    </i>
    <i r="1">
      <x v="17"/>
    </i>
    <i t="default">
      <x v="4"/>
    </i>
    <i>
      <x v="5"/>
      <x v="1"/>
    </i>
    <i r="1">
      <x v="4"/>
    </i>
    <i r="1">
      <x v="5"/>
    </i>
    <i r="1">
      <x v="8"/>
    </i>
    <i r="1">
      <x v="9"/>
    </i>
    <i r="1">
      <x v="12"/>
    </i>
    <i r="1">
      <x v="13"/>
    </i>
    <i r="1">
      <x v="15"/>
    </i>
    <i r="1">
      <x v="17"/>
    </i>
    <i t="default">
      <x v="5"/>
    </i>
    <i>
      <x v="6"/>
      <x/>
    </i>
    <i r="1">
      <x v="1"/>
    </i>
    <i r="1">
      <x v="4"/>
    </i>
    <i r="1">
      <x v="5"/>
    </i>
    <i r="1">
      <x v="7"/>
    </i>
    <i r="1">
      <x v="8"/>
    </i>
    <i r="1">
      <x v="10"/>
    </i>
    <i r="1">
      <x v="11"/>
    </i>
    <i r="1">
      <x v="13"/>
    </i>
    <i r="1">
      <x v="14"/>
    </i>
    <i r="1">
      <x v="15"/>
    </i>
    <i r="1">
      <x v="17"/>
    </i>
    <i t="default">
      <x v="6"/>
    </i>
    <i>
      <x v="7"/>
      <x/>
    </i>
    <i r="1">
      <x v="8"/>
    </i>
    <i r="1">
      <x v="17"/>
    </i>
    <i t="default">
      <x v="7"/>
    </i>
    <i>
      <x v="8"/>
      <x v="1"/>
    </i>
    <i r="1">
      <x v="4"/>
    </i>
    <i r="1">
      <x v="6"/>
    </i>
    <i r="1">
      <x v="8"/>
    </i>
    <i r="1">
      <x v="9"/>
    </i>
    <i r="1">
      <x v="10"/>
    </i>
    <i r="1">
      <x v="11"/>
    </i>
    <i r="1">
      <x v="13"/>
    </i>
    <i r="1">
      <x v="17"/>
    </i>
    <i t="default">
      <x v="8"/>
    </i>
    <i>
      <x v="9"/>
      <x v="1"/>
    </i>
    <i r="1">
      <x v="7"/>
    </i>
    <i r="1">
      <x v="8"/>
    </i>
    <i r="1">
      <x v="10"/>
    </i>
    <i r="1">
      <x v="13"/>
    </i>
    <i r="1">
      <x v="17"/>
    </i>
    <i t="default">
      <x v="9"/>
    </i>
    <i>
      <x v="10"/>
      <x v="7"/>
    </i>
    <i r="1">
      <x v="10"/>
    </i>
    <i t="default">
      <x v="10"/>
    </i>
    <i t="grand">
      <x/>
    </i>
  </rowItems>
  <colItems count="1">
    <i/>
  </colItems>
  <dataFields count="1">
    <dataField name="Sum of QTY" fld="2"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00000000}" name="Upgrades" displayName="Upgrades" ref="A1:M309" totalsRowShown="0" headerRowDxfId="77" dataDxfId="76">
  <autoFilter ref="A1:M309" xr:uid="{00000000-0009-0000-0100-000040000000}"/>
  <sortState xmlns:xlrd2="http://schemas.microsoft.com/office/spreadsheetml/2017/richdata2" ref="A8:M255">
    <sortCondition ref="D1:D309"/>
  </sortState>
  <tableColumns count="13">
    <tableColumn id="1" xr3:uid="{00000000-0010-0000-0000-000001000000}" name="Set" dataDxfId="75"/>
    <tableColumn id="2" xr3:uid="{00000000-0010-0000-0000-000002000000}" name="Number" dataDxfId="74"/>
    <tableColumn id="12" xr3:uid="{00000000-0010-0000-0000-00000C000000}" name="QTY" dataDxfId="73"/>
    <tableColumn id="14" xr3:uid="{00000000-0010-0000-0000-00000E000000}" name="Level" dataDxfId="72"/>
    <tableColumn id="3" xr3:uid="{00000000-0010-0000-0000-000003000000}" name="Name" dataDxfId="71"/>
    <tableColumn id="4" xr3:uid="{00000000-0010-0000-0000-000004000000}" name="Price" dataDxfId="70"/>
    <tableColumn id="5" xr3:uid="{00000000-0010-0000-0000-000005000000}" name="Class" dataDxfId="69"/>
    <tableColumn id="6" xr3:uid="{00000000-0010-0000-0000-000006000000}" name="Type" dataDxfId="68"/>
    <tableColumn id="7" xr3:uid="{00000000-0010-0000-0000-000007000000}" name="ATK" dataDxfId="67"/>
    <tableColumn id="9" xr3:uid="{00000000-0010-0000-0000-000009000000}" name="DEF" dataDxfId="66"/>
    <tableColumn id="8" xr3:uid="{00000000-0010-0000-0000-000008000000}" name="HP" dataDxfId="65"/>
    <tableColumn id="10" xr3:uid="{00000000-0010-0000-0000-00000A000000}" name="Reroll" dataDxfId="64"/>
    <tableColumn id="11" xr3:uid="{00000000-0010-0000-0000-00000B000000}" name="Description"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01000000}" name="Quests" displayName="Quests" ref="A1:C105" totalsRowShown="0">
  <autoFilter ref="A1:C105" xr:uid="{00000000-0009-0000-0100-000041000000}"/>
  <sortState xmlns:xlrd2="http://schemas.microsoft.com/office/spreadsheetml/2017/richdata2" ref="A2:C105">
    <sortCondition ref="A1:A105"/>
  </sortState>
  <tableColumns count="3">
    <tableColumn id="1" xr3:uid="{00000000-0010-0000-0100-000001000000}" name="Set"/>
    <tableColumn id="2" xr3:uid="{00000000-0010-0000-0100-000002000000}" name="Quest"/>
    <tableColumn id="3" xr3:uid="{00000000-0010-0000-0100-000003000000}"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02000000}" name="DeathCurses" displayName="DeathCurses" ref="A1:F17" totalsRowShown="0" headerRowDxfId="62">
  <autoFilter ref="A1:F17" xr:uid="{00000000-0009-0000-0100-000057000000}"/>
  <sortState xmlns:xlrd2="http://schemas.microsoft.com/office/spreadsheetml/2017/richdata2" ref="A2:F17">
    <sortCondition ref="A1:A17"/>
  </sortState>
  <tableColumns count="6">
    <tableColumn id="1" xr3:uid="{00000000-0010-0000-0200-000001000000}" name="Set"/>
    <tableColumn id="2" xr3:uid="{00000000-0010-0000-0200-000002000000}" name="Number"/>
    <tableColumn id="6" xr3:uid="{00000000-0010-0000-0200-000006000000}" name="Qty"/>
    <tableColumn id="7" xr3:uid="{00000000-0010-0000-0200-000007000000}" name="Value"/>
    <tableColumn id="3" xr3:uid="{00000000-0010-0000-0200-000003000000}" name="Name"/>
    <tableColumn id="5" xr3:uid="{00000000-0010-0000-0200-000005000000}"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03000000}" name="StoneCards" displayName="StoneCards" ref="A1:F41" totalsRowShown="0" headerRowDxfId="61">
  <autoFilter ref="A1:F41" xr:uid="{00000000-0009-0000-0100-00004D000000}"/>
  <sortState xmlns:xlrd2="http://schemas.microsoft.com/office/spreadsheetml/2017/richdata2" ref="A2:F41">
    <sortCondition ref="A1:A41"/>
  </sortState>
  <tableColumns count="6">
    <tableColumn id="1" xr3:uid="{00000000-0010-0000-0300-000001000000}" name="Set"/>
    <tableColumn id="2" xr3:uid="{00000000-0010-0000-0300-000002000000}" name="Number"/>
    <tableColumn id="6" xr3:uid="{00000000-0010-0000-0300-000006000000}" name="Qty"/>
    <tableColumn id="3" xr3:uid="{00000000-0010-0000-0300-000003000000}" name="Name"/>
    <tableColumn id="4" xr3:uid="{00000000-0010-0000-0300-000004000000}" name="Type"/>
    <tableColumn id="5" xr3:uid="{00000000-0010-0000-0300-000005000000}"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04000000}" name="Heroes" displayName="Heroes" ref="A1:F145" totalsRowShown="0" dataDxfId="60">
  <autoFilter ref="A1:F145" xr:uid="{00000000-0009-0000-0100-000042000000}"/>
  <sortState xmlns:xlrd2="http://schemas.microsoft.com/office/spreadsheetml/2017/richdata2" ref="A2:F141">
    <sortCondition ref="A1:A141"/>
  </sortState>
  <tableColumns count="6">
    <tableColumn id="1" xr3:uid="{00000000-0010-0000-0400-000001000000}" name="Set" dataDxfId="59"/>
    <tableColumn id="2" xr3:uid="{00000000-0010-0000-0400-000002000000}" name="Name" dataDxfId="58"/>
    <tableColumn id="3" xr3:uid="{00000000-0010-0000-0400-000003000000}" name="DEF" dataDxfId="57"/>
    <tableColumn id="4" xr3:uid="{00000000-0010-0000-0400-000004000000}" name="HP" dataDxfId="56"/>
    <tableColumn id="5" xr3:uid="{00000000-0010-0000-0400-000005000000}" name="Ability Name" dataDxfId="55"/>
    <tableColumn id="6" xr3:uid="{00000000-0010-0000-0400-000006000000}" name="Ability Description" dataDxfId="5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Monsters" displayName="Monsters" ref="A1:N199" totalsRowShown="0" headerRowDxfId="53" dataDxfId="52">
  <autoFilter ref="A1:N199" xr:uid="{00000000-0009-0000-0100-000005000000}"/>
  <sortState xmlns:xlrd2="http://schemas.microsoft.com/office/spreadsheetml/2017/richdata2" ref="A2:N199">
    <sortCondition ref="A1:A199"/>
  </sortState>
  <tableColumns count="14">
    <tableColumn id="1" xr3:uid="{00000000-0010-0000-0500-000001000000}" name="Set" dataDxfId="51"/>
    <tableColumn id="14" xr3:uid="{00000000-0010-0000-0500-00000E000000}" name="Name" dataDxfId="50"/>
    <tableColumn id="13" xr3:uid="{00000000-0010-0000-0500-00000D000000}" name="Type" dataDxfId="49"/>
    <tableColumn id="5" xr3:uid="{00000000-0010-0000-0500-000005000000}" name="Level" dataDxfId="48"/>
    <tableColumn id="3" xr3:uid="{00000000-0010-0000-0500-000003000000}" name="Life" dataDxfId="47"/>
    <tableColumn id="6" xr3:uid="{00000000-0010-0000-0500-000006000000}" name="Overkill" dataDxfId="46"/>
    <tableColumn id="12" xr3:uid="{00000000-0010-0000-0500-00000C000000}" name="Defense" dataDxfId="45"/>
    <tableColumn id="10" xr3:uid="{00000000-0010-0000-0500-00000A000000}" name="Re-roll" dataDxfId="44"/>
    <tableColumn id="7" xr3:uid="{00000000-0010-0000-0500-000007000000}" name="Coins" dataDxfId="43"/>
    <tableColumn id="8" xr3:uid="{00000000-0010-0000-0500-000008000000}" name="Move" dataDxfId="42"/>
    <tableColumn id="11" xr3:uid="{00000000-0010-0000-0500-00000B000000}" name="Attack Type" dataDxfId="41"/>
    <tableColumn id="9" xr3:uid="{00000000-0010-0000-0500-000009000000}" name="Attack" dataDxfId="40"/>
    <tableColumn id="15" xr3:uid="{00000000-0010-0000-0500-00000F000000}" name="Attack Name" dataDxfId="39"/>
    <tableColumn id="4" xr3:uid="{00000000-0010-0000-0500-000004000000}" name="Ability" dataDxfId="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06000000}" name="Pets" displayName="Pets" ref="A1:H79" totalsRowShown="0" headerRowDxfId="37" dataDxfId="36">
  <autoFilter ref="A1:H79" xr:uid="{00000000-0009-0000-0100-000044000000}"/>
  <sortState xmlns:xlrd2="http://schemas.microsoft.com/office/spreadsheetml/2017/richdata2" ref="A2:H79">
    <sortCondition ref="A1:A79"/>
  </sortState>
  <tableColumns count="8">
    <tableColumn id="1" xr3:uid="{00000000-0010-0000-0600-000001000000}" name="Set" dataDxfId="35"/>
    <tableColumn id="2" xr3:uid="{00000000-0010-0000-0600-000002000000}" name="Name" dataDxfId="34"/>
    <tableColumn id="8" xr3:uid="{00000000-0010-0000-0600-000008000000}" name="Sub-title" dataDxfId="33"/>
    <tableColumn id="9" xr3:uid="{00000000-0010-0000-0600-000009000000}" name="Level" dataDxfId="32"/>
    <tableColumn id="3" xr3:uid="{00000000-0010-0000-0600-000003000000}" name="Defense" dataDxfId="31"/>
    <tableColumn id="4" xr3:uid="{00000000-0010-0000-0600-000004000000}" name="Health" dataDxfId="30"/>
    <tableColumn id="5" xr3:uid="{00000000-0010-0000-0600-000005000000}" name="Ability Name" dataDxfId="29"/>
    <tableColumn id="6" xr3:uid="{00000000-0010-0000-0600-000006000000}" name="Ability Description" dataDxfId="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07000000}" name="Mounts" displayName="Mounts" ref="A1:E11" totalsRowShown="0">
  <autoFilter ref="A1:E11" xr:uid="{00000000-0009-0000-0100-000043000000}"/>
  <tableColumns count="5">
    <tableColumn id="1" xr3:uid="{00000000-0010-0000-0700-000001000000}" name="Set"/>
    <tableColumn id="2" xr3:uid="{00000000-0010-0000-0700-000002000000}" name="Name"/>
    <tableColumn id="4" xr3:uid="{00000000-0010-0000-0700-000004000000}" name="Health"/>
    <tableColumn id="5" xr3:uid="{00000000-0010-0000-0700-000005000000}" name="Ability Name"/>
    <tableColumn id="6" xr3:uid="{00000000-0010-0000-0700-000006000000}" name="Ability Descrip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08000000}" name="Dragons" displayName="Dragons" ref="A1:N17" totalsRowShown="0" headerRowDxfId="27" dataDxfId="25" headerRowBorderDxfId="26" tableBorderDxfId="24">
  <autoFilter ref="A1:N17" xr:uid="{00000000-0009-0000-0100-000062000000}"/>
  <tableColumns count="14">
    <tableColumn id="1" xr3:uid="{00000000-0010-0000-0800-000001000000}" name="Set" dataDxfId="23"/>
    <tableColumn id="2" xr3:uid="{00000000-0010-0000-0800-000002000000}" name="Name" dataDxfId="22"/>
    <tableColumn id="3" xr3:uid="{00000000-0010-0000-0800-000003000000}" name="Subtitle" dataDxfId="21"/>
    <tableColumn id="4" xr3:uid="{00000000-0010-0000-0800-000004000000}" name="Type" dataDxfId="20"/>
    <tableColumn id="5" xr3:uid="{00000000-0010-0000-0800-000005000000}" name="Life" dataDxfId="19"/>
    <tableColumn id="6" xr3:uid="{00000000-0010-0000-0800-000006000000}" name="Defense" dataDxfId="18"/>
    <tableColumn id="7" xr3:uid="{00000000-0010-0000-0800-000007000000}" name="Coins" dataDxfId="17"/>
    <tableColumn id="8" xr3:uid="{00000000-0010-0000-0800-000008000000}" name="Move" dataDxfId="16"/>
    <tableColumn id="9" xr3:uid="{00000000-0010-0000-0800-000009000000}" name="Attack Type" dataDxfId="15"/>
    <tableColumn id="10" xr3:uid="{00000000-0010-0000-0800-00000A000000}" name="Attack" dataDxfId="14"/>
    <tableColumn id="11" xr3:uid="{00000000-0010-0000-0800-00000B000000}" name="Attack Name" dataDxfId="13"/>
    <tableColumn id="12" xr3:uid="{00000000-0010-0000-0800-00000C000000}" name="Ability" dataDxfId="12"/>
    <tableColumn id="13" xr3:uid="{00000000-0010-0000-0800-00000D000000}" name="Other" dataDxfId="11"/>
    <tableColumn id="14" xr3:uid="{00000000-0010-0000-0800-00000E000000}" name="Ability2" dataDxfId="1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09000000}" name="DragonTurns" displayName="DragonTurns" ref="A1:E47" totalsRowShown="0" dataDxfId="9">
  <autoFilter ref="A1:E47" xr:uid="{00000000-0009-0000-0100-00004C000000}"/>
  <sortState xmlns:xlrd2="http://schemas.microsoft.com/office/spreadsheetml/2017/richdata2" ref="A2:E47">
    <sortCondition ref="A1:A47"/>
  </sortState>
  <tableColumns count="5">
    <tableColumn id="1" xr3:uid="{00000000-0010-0000-0900-000001000000}" name="Set" dataDxfId="8"/>
    <tableColumn id="2" xr3:uid="{00000000-0010-0000-0900-000002000000}" name="Name" dataDxfId="7"/>
    <tableColumn id="3" xr3:uid="{00000000-0010-0000-0900-000003000000}" name="Qty" dataDxfId="6"/>
    <tableColumn id="4" xr3:uid="{00000000-0010-0000-0900-000004000000}" name="Subtitle" dataDxfId="5"/>
    <tableColumn id="5" xr3:uid="{00000000-0010-0000-0900-000005000000}" name="Descriptio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A16" sqref="A16"/>
    </sheetView>
  </sheetViews>
  <sheetFormatPr defaultRowHeight="15" x14ac:dyDescent="0.25"/>
  <cols>
    <col min="1" max="1" width="17" bestFit="1" customWidth="1"/>
    <col min="2" max="2" width="9.42578125" bestFit="1" customWidth="1"/>
    <col min="3" max="3" width="7.140625" bestFit="1" customWidth="1"/>
    <col min="4" max="4" width="6.85546875" bestFit="1" customWidth="1"/>
    <col min="5" max="5" width="6.140625" bestFit="1" customWidth="1"/>
    <col min="6" max="6" width="7.28515625" bestFit="1" customWidth="1"/>
    <col min="7" max="7" width="9.42578125" bestFit="1" customWidth="1"/>
    <col min="8" max="8" width="4.85546875" bestFit="1" customWidth="1"/>
    <col min="9" max="9" width="7.85546875" bestFit="1" customWidth="1"/>
    <col min="10" max="10" width="8.140625" bestFit="1" customWidth="1"/>
    <col min="11" max="11" width="7.28515625" bestFit="1" customWidth="1"/>
    <col min="12" max="12" width="9.7109375" bestFit="1" customWidth="1"/>
    <col min="13" max="13" width="11.85546875" customWidth="1"/>
  </cols>
  <sheetData>
    <row r="1" spans="1:11" x14ac:dyDescent="0.25">
      <c r="A1" s="73" t="s">
        <v>2009</v>
      </c>
      <c r="B1" s="73"/>
      <c r="C1" s="73"/>
      <c r="D1" s="73"/>
      <c r="E1" s="73"/>
      <c r="F1" s="73"/>
      <c r="G1" s="73"/>
      <c r="H1" s="73"/>
      <c r="I1" s="73"/>
      <c r="J1" s="73"/>
      <c r="K1" s="73"/>
    </row>
    <row r="2" spans="1:11" ht="30" x14ac:dyDescent="0.25">
      <c r="A2" s="46"/>
      <c r="B2" s="44" t="s">
        <v>2000</v>
      </c>
      <c r="C2" s="44" t="s">
        <v>2001</v>
      </c>
      <c r="D2" s="44" t="s">
        <v>2002</v>
      </c>
      <c r="E2" s="44" t="s">
        <v>2003</v>
      </c>
      <c r="F2" s="44" t="s">
        <v>2004</v>
      </c>
      <c r="G2" s="44" t="s">
        <v>2005</v>
      </c>
      <c r="H2" s="44" t="s">
        <v>292</v>
      </c>
      <c r="I2" s="44" t="s">
        <v>2006</v>
      </c>
      <c r="J2" s="44" t="s">
        <v>2007</v>
      </c>
      <c r="K2" s="44" t="s">
        <v>2008</v>
      </c>
    </row>
    <row r="3" spans="1:11" x14ac:dyDescent="0.25">
      <c r="A3" s="45" t="s">
        <v>701</v>
      </c>
      <c r="B3">
        <f ca="1">SUMIF(Upgrades[],'Set Counts'!$A3,Upgrades[QTY])</f>
        <v>161</v>
      </c>
      <c r="C3">
        <f>COUNTIF(Quests[Set],'Set Counts'!$A3)</f>
        <v>23</v>
      </c>
      <c r="D3">
        <f ca="1">SUMIF(DeathCurses[],'Set Counts'!$A3,DeathCurses[Qty])</f>
        <v>24</v>
      </c>
      <c r="E3">
        <f ca="1">SUMIF(StoneCards[],'Set Counts'!$A3,StoneCards[Qty])</f>
        <v>0</v>
      </c>
      <c r="F3">
        <f>COUNTIF(Heroes[Set],'Set Counts'!$A3)</f>
        <v>12</v>
      </c>
      <c r="G3">
        <f>COUNTIF(Monsters[Set],'Set Counts'!$A3)</f>
        <v>42</v>
      </c>
      <c r="H3">
        <f>COUNTIF(Pets[Set],'Set Counts'!$A3)</f>
        <v>0</v>
      </c>
      <c r="I3">
        <f>COUNTIF(Mounts[Set],'Set Counts'!$A3)</f>
        <v>0</v>
      </c>
      <c r="J3">
        <v>0</v>
      </c>
      <c r="K3">
        <f ca="1">SUMIF(DragonTurns[],'Set Counts'!$A3,DragonTurns[Qty])</f>
        <v>0</v>
      </c>
    </row>
    <row r="4" spans="1:11" x14ac:dyDescent="0.25">
      <c r="A4" s="45" t="s">
        <v>523</v>
      </c>
      <c r="B4">
        <f ca="1">SUMIF(Upgrades[],'Set Counts'!$A4,Upgrades[QTY])</f>
        <v>48</v>
      </c>
      <c r="C4">
        <f>COUNTIF(Quests[Set],'Set Counts'!A4)</f>
        <v>14</v>
      </c>
      <c r="D4">
        <f ca="1">SUMIF(DeathCurses[],'Set Counts'!$A4,DeathCurses[Qty])</f>
        <v>0</v>
      </c>
      <c r="E4">
        <f ca="1">SUMIF(StoneCards[],'Set Counts'!$A4,StoneCards[Qty])</f>
        <v>14</v>
      </c>
      <c r="F4">
        <f>COUNTIF(Heroes[Set],'Set Counts'!$A4)</f>
        <v>2</v>
      </c>
      <c r="G4">
        <f>COUNTIF(Monsters[Set],'Set Counts'!$A4)</f>
        <v>36</v>
      </c>
      <c r="H4">
        <f>COUNTIF(Pets[Set],'Set Counts'!$A4)</f>
        <v>0</v>
      </c>
      <c r="I4">
        <f>COUNTIF(Mounts[Set],'Set Counts'!$A4)</f>
        <v>0</v>
      </c>
      <c r="J4">
        <v>0</v>
      </c>
      <c r="K4">
        <f ca="1">SUMIF(DragonTurns[],'Set Counts'!$A4,DragonTurns[Qty])</f>
        <v>0</v>
      </c>
    </row>
    <row r="5" spans="1:11" x14ac:dyDescent="0.25">
      <c r="A5" s="45" t="s">
        <v>521</v>
      </c>
      <c r="B5">
        <f ca="1">SUMIF(Upgrades[],'Set Counts'!$A5,Upgrades[QTY])</f>
        <v>152</v>
      </c>
      <c r="C5">
        <f>COUNTIF(Quests[Set],'Set Counts'!A5)</f>
        <v>21</v>
      </c>
      <c r="D5">
        <f ca="1">SUMIF(DeathCurses[],'Set Counts'!$A5,DeathCurses[Qty])</f>
        <v>24</v>
      </c>
      <c r="E5">
        <f ca="1">SUMIF(StoneCards[],'Set Counts'!$A5,StoneCards[Qty])</f>
        <v>14</v>
      </c>
      <c r="F5">
        <f>COUNTIF(Heroes[Set],'Set Counts'!$A5)</f>
        <v>17</v>
      </c>
      <c r="G5">
        <f>COUNTIF(Monsters[Set],'Set Counts'!$A5)</f>
        <v>48</v>
      </c>
      <c r="H5">
        <f>COUNTIF(Pets[Set],'Set Counts'!$A5)</f>
        <v>0</v>
      </c>
      <c r="I5">
        <f>COUNTIF(Mounts[Set],'Set Counts'!$A5)</f>
        <v>0</v>
      </c>
      <c r="J5">
        <v>0</v>
      </c>
      <c r="K5">
        <f ca="1">SUMIF(DragonTurns[],'Set Counts'!$A5,DragonTurns[Qty])</f>
        <v>0</v>
      </c>
    </row>
    <row r="6" spans="1:11" x14ac:dyDescent="0.25">
      <c r="A6" s="45" t="s">
        <v>292</v>
      </c>
      <c r="B6">
        <f ca="1">SUMIF(Upgrades[],'Set Counts'!$A6,Upgrades[QTY])</f>
        <v>20</v>
      </c>
      <c r="C6">
        <f>COUNTIF(Quests[Set],'Set Counts'!A6)</f>
        <v>10</v>
      </c>
      <c r="D6">
        <f ca="1">SUMIF(DeathCurses[],'Set Counts'!$A6,DeathCurses[Qty])</f>
        <v>0</v>
      </c>
      <c r="E6">
        <f ca="1">SUMIF(StoneCards[],'Set Counts'!$A6,StoneCards[Qty])</f>
        <v>0</v>
      </c>
      <c r="F6">
        <f>COUNTIF(Heroes[Set],'Set Counts'!$A6)</f>
        <v>2</v>
      </c>
      <c r="G6">
        <f>COUNTIF(Monsters[Set],'Set Counts'!$A6)</f>
        <v>20</v>
      </c>
      <c r="H6">
        <f>COUNTIF(Pets[Set],'Set Counts'!$A6)</f>
        <v>36</v>
      </c>
      <c r="I6">
        <f>COUNTIF(Mounts[Set],'Set Counts'!$A6)</f>
        <v>0</v>
      </c>
      <c r="J6">
        <v>0</v>
      </c>
      <c r="K6">
        <f ca="1">SUMIF(DragonTurns[],'Set Counts'!$A6,DragonTurns[Qty])</f>
        <v>0</v>
      </c>
    </row>
    <row r="7" spans="1:11" x14ac:dyDescent="0.25">
      <c r="A7" s="45" t="s">
        <v>702</v>
      </c>
      <c r="B7">
        <f ca="1">SUMIF(Upgrades[],'Set Counts'!$A7,Upgrades[QTY])</f>
        <v>47</v>
      </c>
      <c r="C7">
        <f>COUNTIF(Quests[Set],'Set Counts'!A7)</f>
        <v>15</v>
      </c>
      <c r="D7">
        <f ca="1">SUMIF(DeathCurses[],'Set Counts'!$A7,DeathCurses[Qty])</f>
        <v>0</v>
      </c>
      <c r="E7">
        <f ca="1">SUMIF(StoneCards[],'Set Counts'!$A7,StoneCards[Qty])</f>
        <v>0</v>
      </c>
      <c r="F7">
        <f>COUNTIF(Heroes[Set],'Set Counts'!$A7)</f>
        <v>2</v>
      </c>
      <c r="G7">
        <f>COUNTIF(Monsters[Set],'Set Counts'!$A7)</f>
        <v>8</v>
      </c>
      <c r="H7">
        <f>COUNTIF(Pets[Set],'Set Counts'!$A7)</f>
        <v>0</v>
      </c>
      <c r="I7">
        <f>COUNTIF(Mounts[Set],'Set Counts'!$A7)</f>
        <v>6</v>
      </c>
      <c r="J7">
        <v>0</v>
      </c>
      <c r="K7">
        <f ca="1">SUMIF(DragonTurns[],'Set Counts'!$A7,DragonTurns[Qty])</f>
        <v>0</v>
      </c>
    </row>
    <row r="8" spans="1:11" x14ac:dyDescent="0.25">
      <c r="A8" s="45" t="s">
        <v>79</v>
      </c>
      <c r="B8">
        <f ca="1">SUMIF(Upgrades[],'Set Counts'!$A8,Upgrades[QTY])</f>
        <v>27</v>
      </c>
      <c r="C8">
        <f>COUNTIF(Quests[Set],'Set Counts'!A8)</f>
        <v>1</v>
      </c>
      <c r="D8">
        <f ca="1">SUMIF(DeathCurses[],'Set Counts'!$A8,DeathCurses[Qty])</f>
        <v>0</v>
      </c>
      <c r="E8">
        <f ca="1">SUMIF(StoneCards[],'Set Counts'!$A8,StoneCards[Qty])</f>
        <v>14</v>
      </c>
      <c r="F8">
        <f>COUNTIF(Heroes[Set],'Set Counts'!$A8)</f>
        <v>0</v>
      </c>
      <c r="G8">
        <f>COUNTIF(Monsters[Set],'Set Counts'!$A8)</f>
        <v>0</v>
      </c>
      <c r="H8">
        <f>COUNTIF(Pets[Set],'Set Counts'!$A8)</f>
        <v>0</v>
      </c>
      <c r="I8">
        <f>COUNTIF(Mounts[Set],'Set Counts'!$A8)</f>
        <v>0</v>
      </c>
      <c r="J8">
        <v>2</v>
      </c>
      <c r="K8">
        <f ca="1">SUMIF(DragonTurns[],'Set Counts'!$A8,DragonTurns[Qty])</f>
        <v>24</v>
      </c>
    </row>
    <row r="9" spans="1:11" x14ac:dyDescent="0.25">
      <c r="A9" s="45" t="s">
        <v>121</v>
      </c>
      <c r="B9">
        <f ca="1">SUMIF(Upgrades[],'Set Counts'!$A9,Upgrades[QTY])</f>
        <v>27</v>
      </c>
      <c r="C9">
        <f>COUNTIF(Quests[Set],'Set Counts'!A9)</f>
        <v>1</v>
      </c>
      <c r="D9">
        <f ca="1">SUMIF(DeathCurses[],'Set Counts'!$A9,DeathCurses[Qty])</f>
        <v>0</v>
      </c>
      <c r="E9">
        <f ca="1">SUMIF(StoneCards[],'Set Counts'!$A9,StoneCards[Qty])</f>
        <v>14</v>
      </c>
      <c r="F9">
        <f>COUNTIF(Heroes[Set],'Set Counts'!$A9)</f>
        <v>0</v>
      </c>
      <c r="G9">
        <f>COUNTIF(Monsters[Set],'Set Counts'!$A9)</f>
        <v>0</v>
      </c>
      <c r="H9">
        <f>COUNTIF(Pets[Set],'Set Counts'!$A9)</f>
        <v>0</v>
      </c>
      <c r="I9">
        <f>COUNTIF(Mounts[Set],'Set Counts'!$A9)</f>
        <v>0</v>
      </c>
      <c r="J9">
        <v>2</v>
      </c>
      <c r="K9">
        <f ca="1">SUMIF(DragonTurns[],'Set Counts'!$A9,DragonTurns[Qty])</f>
        <v>24</v>
      </c>
    </row>
    <row r="10" spans="1:11" x14ac:dyDescent="0.25">
      <c r="A10" s="45" t="s">
        <v>96</v>
      </c>
      <c r="B10">
        <f ca="1">SUMIF(Upgrades[],'Set Counts'!$A10,Upgrades[QTY])</f>
        <v>27</v>
      </c>
      <c r="C10">
        <f>COUNTIF(Quests[Set],'Set Counts'!A10)</f>
        <v>1</v>
      </c>
      <c r="D10">
        <f ca="1">SUMIF(DeathCurses[],'Set Counts'!$A10,DeathCurses[Qty])</f>
        <v>0</v>
      </c>
      <c r="E10">
        <f ca="1">SUMIF(StoneCards[],'Set Counts'!$A10,StoneCards[Qty])</f>
        <v>14</v>
      </c>
      <c r="F10">
        <f>COUNTIF(Heroes[Set],'Set Counts'!$A10)</f>
        <v>0</v>
      </c>
      <c r="G10">
        <f>COUNTIF(Monsters[Set],'Set Counts'!$A10)</f>
        <v>0</v>
      </c>
      <c r="H10">
        <f>COUNTIF(Pets[Set],'Set Counts'!$A10)</f>
        <v>0</v>
      </c>
      <c r="I10">
        <f>COUNTIF(Mounts[Set],'Set Counts'!$A10)</f>
        <v>0</v>
      </c>
      <c r="J10">
        <v>2</v>
      </c>
      <c r="K10">
        <f ca="1">SUMIF(DragonTurns[],'Set Counts'!$A10,DragonTurns[Qty])</f>
        <v>24</v>
      </c>
    </row>
    <row r="11" spans="1:11" x14ac:dyDescent="0.25">
      <c r="A11" s="45" t="s">
        <v>110</v>
      </c>
      <c r="B11">
        <f ca="1">SUMIF(Upgrades[],'Set Counts'!$A11,Upgrades[QTY])</f>
        <v>27</v>
      </c>
      <c r="C11">
        <f>COUNTIF(Quests[Set],'Set Counts'!A11)</f>
        <v>1</v>
      </c>
      <c r="D11">
        <f ca="1">SUMIF(DeathCurses[],'Set Counts'!$A11,DeathCurses[Qty])</f>
        <v>0</v>
      </c>
      <c r="E11">
        <f ca="1">SUMIF(StoneCards[],'Set Counts'!$A11,StoneCards[Qty])</f>
        <v>14</v>
      </c>
      <c r="F11">
        <f>COUNTIF(Heroes[Set],'Set Counts'!$A11)</f>
        <v>0</v>
      </c>
      <c r="G11">
        <f>COUNTIF(Monsters[Set],'Set Counts'!$A11)</f>
        <v>0</v>
      </c>
      <c r="H11">
        <f>COUNTIF(Pets[Set],'Set Counts'!$A11)</f>
        <v>0</v>
      </c>
      <c r="I11">
        <f>COUNTIF(Mounts[Set],'Set Counts'!$A11)</f>
        <v>0</v>
      </c>
      <c r="J11">
        <v>2</v>
      </c>
      <c r="K11">
        <f ca="1">SUMIF(DragonTurns[],'Set Counts'!$A11,DragonTurns[Qty])</f>
        <v>24</v>
      </c>
    </row>
    <row r="12" spans="1:11" x14ac:dyDescent="0.25">
      <c r="A12" s="45" t="s">
        <v>1810</v>
      </c>
      <c r="B12">
        <f ca="1">SUMIF(Upgrades[],'Set Counts'!$A12,Upgrades[QTY])</f>
        <v>0</v>
      </c>
      <c r="C12">
        <f>COUNTIF(Quests[Set],'Set Counts'!A12)</f>
        <v>3</v>
      </c>
      <c r="D12">
        <f ca="1">SUMIF(DeathCurses[],'Set Counts'!$A12,DeathCurses[Qty])</f>
        <v>0</v>
      </c>
      <c r="E12">
        <f ca="1">SUMIF(StoneCards[],'Set Counts'!$A12,StoneCards[Qty])</f>
        <v>0</v>
      </c>
      <c r="F12">
        <f>COUNTIF(Heroes[Set],'Set Counts'!$A12)</f>
        <v>0</v>
      </c>
      <c r="G12">
        <f>COUNTIF(Monsters[Set],'Set Counts'!$A12)</f>
        <v>12</v>
      </c>
      <c r="H12">
        <f>COUNTIF(Pets[Set],'Set Counts'!$A12)</f>
        <v>0</v>
      </c>
      <c r="I12">
        <f>COUNTIF(Mounts[Set],'Set Counts'!$A12)</f>
        <v>0</v>
      </c>
      <c r="J12">
        <v>0</v>
      </c>
      <c r="K12">
        <f ca="1">SUMIF(DragonTurns[],'Set Counts'!$A12,DragonTurns[Qty])</f>
        <v>0</v>
      </c>
    </row>
    <row r="13" spans="1:11" x14ac:dyDescent="0.25">
      <c r="A13" s="45" t="s">
        <v>300</v>
      </c>
      <c r="B13">
        <f ca="1">SUMIF(Upgrades[],'Set Counts'!$A13,Upgrades[QTY])</f>
        <v>2</v>
      </c>
      <c r="C13">
        <f>COUNTIF(Quests[Set],'Set Counts'!A13)</f>
        <v>3</v>
      </c>
      <c r="D13">
        <f ca="1">SUMIF(DeathCurses[],'Set Counts'!$A13,DeathCurses[Qty])</f>
        <v>0</v>
      </c>
      <c r="E13">
        <f ca="1">SUMIF(StoneCards[],'Set Counts'!$A13,StoneCards[Qty])</f>
        <v>0</v>
      </c>
      <c r="F13">
        <f>COUNTIF(Heroes[Set],'Set Counts'!$A13)</f>
        <v>0</v>
      </c>
      <c r="G13">
        <f>COUNTIF(Monsters[Set],'Set Counts'!$A13)</f>
        <v>12</v>
      </c>
      <c r="H13">
        <f>COUNTIF(Pets[Set],'Set Counts'!$A13)</f>
        <v>0</v>
      </c>
      <c r="I13">
        <f>COUNTIF(Mounts[Set],'Set Counts'!$A13)</f>
        <v>0</v>
      </c>
      <c r="J13">
        <v>0</v>
      </c>
      <c r="K13">
        <f ca="1">SUMIF(DragonTurns[],'Set Counts'!$A13,DragonTurns[Qty])</f>
        <v>0</v>
      </c>
    </row>
    <row r="14" spans="1:11" x14ac:dyDescent="0.25">
      <c r="A14" s="45" t="s">
        <v>1722</v>
      </c>
      <c r="B14">
        <f ca="1">SUMIF(Upgrades[],'Set Counts'!$A14,Upgrades[QTY])</f>
        <v>4</v>
      </c>
      <c r="C14">
        <f>COUNTIF(Quests[Set],'Set Counts'!A14)</f>
        <v>0</v>
      </c>
      <c r="D14">
        <f ca="1">SUMIF(DeathCurses[],'Set Counts'!$A14,DeathCurses[Qty])</f>
        <v>0</v>
      </c>
      <c r="E14">
        <f ca="1">SUMIF(StoneCards[],'Set Counts'!$A14,StoneCards[Qty])</f>
        <v>0</v>
      </c>
      <c r="F14">
        <f>COUNTIF(Heroes[Set],'Set Counts'!$A14)</f>
        <v>0</v>
      </c>
      <c r="G14">
        <f>COUNTIF(Monsters[Set],'Set Counts'!$A14)</f>
        <v>0</v>
      </c>
      <c r="H14">
        <f>COUNTIF(Pets[Set],'Set Counts'!$A14)</f>
        <v>0</v>
      </c>
      <c r="I14">
        <f>COUNTIF(Mounts[Set],'Set Counts'!$A14)</f>
        <v>0</v>
      </c>
      <c r="J14">
        <v>0</v>
      </c>
      <c r="K14">
        <f ca="1">SUMIF(DragonTurns[],'Set Counts'!$A14,DragonTurns[Qty])</f>
        <v>0</v>
      </c>
    </row>
  </sheetData>
  <mergeCells count="1">
    <mergeCell ref="A1:K1"/>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3"/>
  <sheetViews>
    <sheetView workbookViewId="0">
      <selection activeCell="S19" sqref="S19"/>
    </sheetView>
  </sheetViews>
  <sheetFormatPr defaultRowHeight="15" x14ac:dyDescent="0.25"/>
  <cols>
    <col min="1" max="1" width="22" bestFit="1" customWidth="1"/>
    <col min="2" max="2" width="15.7109375" bestFit="1" customWidth="1"/>
    <col min="3" max="3" width="8" bestFit="1" customWidth="1"/>
    <col min="4" max="4" width="5.42578125" customWidth="1"/>
    <col min="8" max="8" width="15.7109375" bestFit="1" customWidth="1"/>
    <col min="9" max="14" width="3" bestFit="1" customWidth="1"/>
    <col min="15" max="15" width="5.42578125" bestFit="1" customWidth="1"/>
    <col min="17" max="17" width="12.140625" customWidth="1"/>
    <col min="18" max="19" width="3" style="1" bestFit="1" customWidth="1"/>
    <col min="20" max="21" width="2" style="1" bestFit="1" customWidth="1"/>
    <col min="22" max="23" width="3" style="1" bestFit="1" customWidth="1"/>
    <col min="24" max="24" width="5.42578125" bestFit="1" customWidth="1"/>
  </cols>
  <sheetData>
    <row r="1" spans="1:24" ht="15.75" thickBot="1" x14ac:dyDescent="0.3">
      <c r="A1" s="41" t="s">
        <v>1999</v>
      </c>
      <c r="B1" s="41"/>
      <c r="C1" s="41"/>
      <c r="D1" s="41"/>
      <c r="H1" s="57" t="s">
        <v>2048</v>
      </c>
      <c r="Q1" s="57" t="s">
        <v>2050</v>
      </c>
    </row>
    <row r="2" spans="1:24" x14ac:dyDescent="0.25">
      <c r="H2" s="63" t="s">
        <v>10</v>
      </c>
      <c r="I2" s="69">
        <v>1</v>
      </c>
      <c r="J2" s="69">
        <v>2</v>
      </c>
      <c r="K2" s="69">
        <v>3</v>
      </c>
      <c r="L2" s="69">
        <v>4</v>
      </c>
      <c r="M2" s="69">
        <v>5</v>
      </c>
      <c r="N2" s="69">
        <v>6</v>
      </c>
      <c r="O2" s="70" t="s">
        <v>1998</v>
      </c>
      <c r="Q2" s="63" t="s">
        <v>137</v>
      </c>
      <c r="R2" s="69">
        <v>1</v>
      </c>
      <c r="S2" s="69">
        <v>2</v>
      </c>
      <c r="T2" s="69">
        <v>3</v>
      </c>
      <c r="U2" s="69">
        <v>4</v>
      </c>
      <c r="V2" s="69">
        <v>5</v>
      </c>
      <c r="W2" s="69">
        <v>6</v>
      </c>
      <c r="X2" s="64" t="s">
        <v>1998</v>
      </c>
    </row>
    <row r="3" spans="1:24" x14ac:dyDescent="0.25">
      <c r="A3" s="49" t="s">
        <v>1997</v>
      </c>
      <c r="B3" s="50"/>
      <c r="C3" s="50"/>
      <c r="D3" s="51"/>
      <c r="H3" s="58" t="s">
        <v>22</v>
      </c>
      <c r="I3" s="68">
        <f>COUNTIFS(Upgrades!$H:$H,'Item Type by Set'!$H3,Upgrades!$D:$D,'Item Type by Set'!I$2)</f>
        <v>2</v>
      </c>
      <c r="J3" s="68">
        <f>COUNTIFS(Upgrades!$H:$H,'Item Type by Set'!$H3,Upgrades!$D:$D,'Item Type by Set'!J$2)</f>
        <v>2</v>
      </c>
      <c r="K3" s="68">
        <f>COUNTIFS(Upgrades!$H:$H,'Item Type by Set'!$H3,Upgrades!$D:$D,'Item Type by Set'!K$2)</f>
        <v>1</v>
      </c>
      <c r="L3" s="68">
        <f>COUNTIFS(Upgrades!$H:$H,'Item Type by Set'!$H3,Upgrades!$D:$D,'Item Type by Set'!L$2)</f>
        <v>2</v>
      </c>
      <c r="M3" s="68">
        <f>COUNTIFS(Upgrades!$H:$H,'Item Type by Set'!$H3,Upgrades!$D:$D,'Item Type by Set'!M$2)</f>
        <v>2</v>
      </c>
      <c r="N3" s="68">
        <f>COUNTIFS(Upgrades!$H:$H,'Item Type by Set'!$H3,Upgrades!$D:$D,'Item Type by Set'!N$2)</f>
        <v>3</v>
      </c>
      <c r="O3" s="62">
        <f>SUM(I3:N3)</f>
        <v>12</v>
      </c>
      <c r="Q3" s="65" t="s">
        <v>29</v>
      </c>
      <c r="R3" s="68">
        <f>COUNTIFS(Upgrades!$G:$G,'Item Type by Set'!$Q3,Upgrades!$D:$D,'Item Type by Set'!I$2)</f>
        <v>4</v>
      </c>
      <c r="S3" s="68">
        <f>COUNTIFS(Upgrades!$G:$G,'Item Type by Set'!$Q3,Upgrades!$D:$D,'Item Type by Set'!J$2)</f>
        <v>3</v>
      </c>
      <c r="T3" s="68">
        <f>COUNTIFS(Upgrades!$G:$G,'Item Type by Set'!$Q3,Upgrades!$D:$D,'Item Type by Set'!K$2)</f>
        <v>4</v>
      </c>
      <c r="U3" s="68">
        <f>COUNTIFS(Upgrades!$G:$G,'Item Type by Set'!$Q3,Upgrades!$D:$D,'Item Type by Set'!L$2)</f>
        <v>5</v>
      </c>
      <c r="V3" s="68">
        <f>COUNTIFS(Upgrades!$G:$G,'Item Type by Set'!$Q3,Upgrades!$D:$D,'Item Type by Set'!M$2)</f>
        <v>4</v>
      </c>
      <c r="W3" s="68">
        <f>COUNTIFS(Upgrades!$G:$G,'Item Type by Set'!$Q3,Upgrades!$D:$D,'Item Type by Set'!N$2)</f>
        <v>11</v>
      </c>
      <c r="X3" s="62">
        <f>SUM(R3:W3)</f>
        <v>31</v>
      </c>
    </row>
    <row r="4" spans="1:24" x14ac:dyDescent="0.25">
      <c r="A4" s="49" t="s">
        <v>176</v>
      </c>
      <c r="B4" s="49" t="s">
        <v>10</v>
      </c>
      <c r="C4" s="49" t="s">
        <v>5</v>
      </c>
      <c r="D4" s="51" t="s">
        <v>1998</v>
      </c>
      <c r="H4" s="58" t="s">
        <v>62</v>
      </c>
      <c r="I4" s="68">
        <f>COUNTIFS(Upgrades!$H:$H,'Item Type by Set'!$H4,Upgrades!$D:$D,'Item Type by Set'!I$2)</f>
        <v>1</v>
      </c>
      <c r="J4" s="68">
        <f>COUNTIFS(Upgrades!$H:$H,'Item Type by Set'!$H4,Upgrades!$D:$D,'Item Type by Set'!J$2)</f>
        <v>1</v>
      </c>
      <c r="K4" s="68">
        <f>COUNTIFS(Upgrades!$H:$H,'Item Type by Set'!$H4,Upgrades!$D:$D,'Item Type by Set'!K$2)</f>
        <v>0</v>
      </c>
      <c r="L4" s="68">
        <f>COUNTIFS(Upgrades!$H:$H,'Item Type by Set'!$H4,Upgrades!$D:$D,'Item Type by Set'!L$2)</f>
        <v>1</v>
      </c>
      <c r="M4" s="68">
        <f>COUNTIFS(Upgrades!$H:$H,'Item Type by Set'!$H4,Upgrades!$D:$D,'Item Type by Set'!M$2)</f>
        <v>0</v>
      </c>
      <c r="N4" s="68">
        <f>COUNTIFS(Upgrades!$H:$H,'Item Type by Set'!$H4,Upgrades!$D:$D,'Item Type by Set'!N$2)</f>
        <v>1</v>
      </c>
      <c r="O4" s="62">
        <f t="shared" ref="O4:O20" si="0">SUM(I4:N4)</f>
        <v>4</v>
      </c>
      <c r="Q4" s="65" t="s">
        <v>266</v>
      </c>
      <c r="R4" s="68">
        <f>COUNTIFS(Upgrades!$G:$G,'Item Type by Set'!$Q4,Upgrades!$D:$D,'Item Type by Set'!I$2)</f>
        <v>1</v>
      </c>
      <c r="S4" s="68">
        <f>COUNTIFS(Upgrades!$G:$G,'Item Type by Set'!$Q4,Upgrades!$D:$D,'Item Type by Set'!J$2)</f>
        <v>1</v>
      </c>
      <c r="T4" s="68">
        <f>COUNTIFS(Upgrades!$G:$G,'Item Type by Set'!$Q4,Upgrades!$D:$D,'Item Type by Set'!K$2)</f>
        <v>1</v>
      </c>
      <c r="U4" s="68">
        <f>COUNTIFS(Upgrades!$G:$G,'Item Type by Set'!$Q4,Upgrades!$D:$D,'Item Type by Set'!L$2)</f>
        <v>0</v>
      </c>
      <c r="V4" s="68">
        <f>COUNTIFS(Upgrades!$G:$G,'Item Type by Set'!$Q4,Upgrades!$D:$D,'Item Type by Set'!M$2)</f>
        <v>1</v>
      </c>
      <c r="W4" s="68">
        <f>COUNTIFS(Upgrades!$G:$G,'Item Type by Set'!$Q4,Upgrades!$D:$D,'Item Type by Set'!N$2)</f>
        <v>0</v>
      </c>
      <c r="X4" s="62">
        <f t="shared" ref="X4:X5" si="1">SUM(R4:W4)</f>
        <v>4</v>
      </c>
    </row>
    <row r="5" spans="1:24" x14ac:dyDescent="0.25">
      <c r="A5" s="52" t="s">
        <v>1722</v>
      </c>
      <c r="B5" s="52" t="s">
        <v>24</v>
      </c>
      <c r="C5" s="50"/>
      <c r="D5" s="51">
        <v>4</v>
      </c>
      <c r="H5" s="58" t="s">
        <v>41</v>
      </c>
      <c r="I5" s="68">
        <f>COUNTIFS(Upgrades!$H:$H,'Item Type by Set'!$H5,Upgrades!$D:$D,'Item Type by Set'!I$2)</f>
        <v>3</v>
      </c>
      <c r="J5" s="68">
        <f>COUNTIFS(Upgrades!$H:$H,'Item Type by Set'!$H5,Upgrades!$D:$D,'Item Type by Set'!J$2)</f>
        <v>2</v>
      </c>
      <c r="K5" s="68">
        <f>COUNTIFS(Upgrades!$H:$H,'Item Type by Set'!$H5,Upgrades!$D:$D,'Item Type by Set'!K$2)</f>
        <v>3</v>
      </c>
      <c r="L5" s="68">
        <f>COUNTIFS(Upgrades!$H:$H,'Item Type by Set'!$H5,Upgrades!$D:$D,'Item Type by Set'!L$2)</f>
        <v>2</v>
      </c>
      <c r="M5" s="68">
        <f>COUNTIFS(Upgrades!$H:$H,'Item Type by Set'!$H5,Upgrades!$D:$D,'Item Type by Set'!M$2)</f>
        <v>2</v>
      </c>
      <c r="N5" s="68">
        <f>COUNTIFS(Upgrades!$H:$H,'Item Type by Set'!$H5,Upgrades!$D:$D,'Item Type by Set'!N$2)</f>
        <v>2</v>
      </c>
      <c r="O5" s="62">
        <f t="shared" si="0"/>
        <v>14</v>
      </c>
      <c r="Q5" s="65" t="s">
        <v>713</v>
      </c>
      <c r="R5" s="68">
        <f>COUNTIFS(Upgrades!$G:$G,'Item Type by Set'!$Q5,Upgrades!$D:$D,'Item Type by Set'!I$2)</f>
        <v>1</v>
      </c>
      <c r="S5" s="68">
        <f>COUNTIFS(Upgrades!$G:$G,'Item Type by Set'!$Q5,Upgrades!$D:$D,'Item Type by Set'!J$2)</f>
        <v>1</v>
      </c>
      <c r="T5" s="68">
        <f>COUNTIFS(Upgrades!$G:$G,'Item Type by Set'!$Q5,Upgrades!$D:$D,'Item Type by Set'!K$2)</f>
        <v>1</v>
      </c>
      <c r="U5" s="68">
        <f>COUNTIFS(Upgrades!$G:$G,'Item Type by Set'!$Q5,Upgrades!$D:$D,'Item Type by Set'!L$2)</f>
        <v>1</v>
      </c>
      <c r="V5" s="68">
        <f>COUNTIFS(Upgrades!$G:$G,'Item Type by Set'!$Q5,Upgrades!$D:$D,'Item Type by Set'!M$2)</f>
        <v>1</v>
      </c>
      <c r="W5" s="68">
        <f>COUNTIFS(Upgrades!$G:$G,'Item Type by Set'!$Q5,Upgrades!$D:$D,'Item Type by Set'!N$2)</f>
        <v>0</v>
      </c>
      <c r="X5" s="62">
        <f t="shared" si="1"/>
        <v>5</v>
      </c>
    </row>
    <row r="6" spans="1:24" ht="15.75" thickBot="1" x14ac:dyDescent="0.3">
      <c r="A6" s="52" t="s">
        <v>1986</v>
      </c>
      <c r="B6" s="50"/>
      <c r="C6" s="50"/>
      <c r="D6" s="51">
        <v>4</v>
      </c>
      <c r="H6" s="58" t="s">
        <v>24</v>
      </c>
      <c r="I6" s="68">
        <f>COUNTIFS(Upgrades!$H:$H,'Item Type by Set'!$H6,Upgrades!$D:$D,'Item Type by Set'!I$2)</f>
        <v>2</v>
      </c>
      <c r="J6" s="68">
        <f>COUNTIFS(Upgrades!$H:$H,'Item Type by Set'!$H6,Upgrades!$D:$D,'Item Type by Set'!J$2)</f>
        <v>3</v>
      </c>
      <c r="K6" s="68">
        <f>COUNTIFS(Upgrades!$H:$H,'Item Type by Set'!$H6,Upgrades!$D:$D,'Item Type by Set'!K$2)</f>
        <v>2</v>
      </c>
      <c r="L6" s="68">
        <f>COUNTIFS(Upgrades!$H:$H,'Item Type by Set'!$H6,Upgrades!$D:$D,'Item Type by Set'!L$2)</f>
        <v>3</v>
      </c>
      <c r="M6" s="68">
        <f>COUNTIFS(Upgrades!$H:$H,'Item Type by Set'!$H6,Upgrades!$D:$D,'Item Type by Set'!M$2)</f>
        <v>3</v>
      </c>
      <c r="N6" s="68">
        <f>COUNTIFS(Upgrades!$H:$H,'Item Type by Set'!$H6,Upgrades!$D:$D,'Item Type by Set'!N$2)</f>
        <v>3</v>
      </c>
      <c r="O6" s="62">
        <f t="shared" si="0"/>
        <v>16</v>
      </c>
      <c r="Q6" s="66" t="s">
        <v>1998</v>
      </c>
      <c r="R6" s="71">
        <f>SUM(R3:R5)</f>
        <v>6</v>
      </c>
      <c r="S6" s="71">
        <f t="shared" ref="S6:W6" si="2">SUM(S3:S5)</f>
        <v>5</v>
      </c>
      <c r="T6" s="71">
        <f t="shared" si="2"/>
        <v>6</v>
      </c>
      <c r="U6" s="71">
        <f t="shared" si="2"/>
        <v>6</v>
      </c>
      <c r="V6" s="71">
        <f t="shared" si="2"/>
        <v>6</v>
      </c>
      <c r="W6" s="71">
        <f t="shared" si="2"/>
        <v>11</v>
      </c>
      <c r="X6" s="61"/>
    </row>
    <row r="7" spans="1:24" x14ac:dyDescent="0.25">
      <c r="A7" s="52" t="s">
        <v>701</v>
      </c>
      <c r="B7" s="52" t="s">
        <v>9</v>
      </c>
      <c r="C7" s="50"/>
      <c r="D7" s="51">
        <v>8</v>
      </c>
      <c r="H7" s="58" t="s">
        <v>23</v>
      </c>
      <c r="I7" s="68">
        <f>COUNTIFS(Upgrades!$H:$H,'Item Type by Set'!$H7,Upgrades!$D:$D,'Item Type by Set'!I$2)</f>
        <v>5</v>
      </c>
      <c r="J7" s="68">
        <f>COUNTIFS(Upgrades!$H:$H,'Item Type by Set'!$H7,Upgrades!$D:$D,'Item Type by Set'!J$2)</f>
        <v>5</v>
      </c>
      <c r="K7" s="68">
        <f>COUNTIFS(Upgrades!$H:$H,'Item Type by Set'!$H7,Upgrades!$D:$D,'Item Type by Set'!K$2)</f>
        <v>8</v>
      </c>
      <c r="L7" s="68">
        <f>COUNTIFS(Upgrades!$H:$H,'Item Type by Set'!$H7,Upgrades!$D:$D,'Item Type by Set'!L$2)</f>
        <v>10</v>
      </c>
      <c r="M7" s="68">
        <f>COUNTIFS(Upgrades!$H:$H,'Item Type by Set'!$H7,Upgrades!$D:$D,'Item Type by Set'!M$2)</f>
        <v>7</v>
      </c>
      <c r="N7" s="68">
        <f>COUNTIFS(Upgrades!$H:$H,'Item Type by Set'!$H7,Upgrades!$D:$D,'Item Type by Set'!N$2)</f>
        <v>12</v>
      </c>
      <c r="O7" s="62">
        <f t="shared" si="0"/>
        <v>47</v>
      </c>
    </row>
    <row r="8" spans="1:24" ht="15.75" thickBot="1" x14ac:dyDescent="0.3">
      <c r="A8" s="53"/>
      <c r="B8" s="52" t="s">
        <v>70</v>
      </c>
      <c r="C8" s="50"/>
      <c r="D8" s="51">
        <v>10</v>
      </c>
      <c r="H8" s="58" t="s">
        <v>30</v>
      </c>
      <c r="I8" s="68">
        <f>COUNTIFS(Upgrades!$H:$H,'Item Type by Set'!$H8,Upgrades!$D:$D,'Item Type by Set'!I$2)</f>
        <v>4</v>
      </c>
      <c r="J8" s="68">
        <f>COUNTIFS(Upgrades!$H:$H,'Item Type by Set'!$H8,Upgrades!$D:$D,'Item Type by Set'!J$2)</f>
        <v>7</v>
      </c>
      <c r="K8" s="68">
        <f>COUNTIFS(Upgrades!$H:$H,'Item Type by Set'!$H8,Upgrades!$D:$D,'Item Type by Set'!K$2)</f>
        <v>4</v>
      </c>
      <c r="L8" s="68">
        <f>COUNTIFS(Upgrades!$H:$H,'Item Type by Set'!$H8,Upgrades!$D:$D,'Item Type by Set'!L$2)</f>
        <v>7</v>
      </c>
      <c r="M8" s="68">
        <f>COUNTIFS(Upgrades!$H:$H,'Item Type by Set'!$H8,Upgrades!$D:$D,'Item Type by Set'!M$2)</f>
        <v>11</v>
      </c>
      <c r="N8" s="68">
        <f>COUNTIFS(Upgrades!$H:$H,'Item Type by Set'!$H8,Upgrades!$D:$D,'Item Type by Set'!N$2)</f>
        <v>10</v>
      </c>
      <c r="O8" s="62">
        <f t="shared" si="0"/>
        <v>43</v>
      </c>
      <c r="Q8" s="72" t="s">
        <v>2049</v>
      </c>
    </row>
    <row r="9" spans="1:24" x14ac:dyDescent="0.25">
      <c r="A9" s="53"/>
      <c r="B9" s="52" t="s">
        <v>62</v>
      </c>
      <c r="C9" s="50"/>
      <c r="D9" s="51">
        <v>8</v>
      </c>
      <c r="H9" s="58" t="s">
        <v>70</v>
      </c>
      <c r="I9" s="68">
        <f>COUNTIFS(Upgrades!$H:$H,'Item Type by Set'!$H9,Upgrades!$D:$D,'Item Type by Set'!I$2)</f>
        <v>1</v>
      </c>
      <c r="J9" s="68">
        <f>COUNTIFS(Upgrades!$H:$H,'Item Type by Set'!$H9,Upgrades!$D:$D,'Item Type by Set'!J$2)</f>
        <v>3</v>
      </c>
      <c r="K9" s="68">
        <f>COUNTIFS(Upgrades!$H:$H,'Item Type by Set'!$H9,Upgrades!$D:$D,'Item Type by Set'!K$2)</f>
        <v>2</v>
      </c>
      <c r="L9" s="68">
        <f>COUNTIFS(Upgrades!$H:$H,'Item Type by Set'!$H9,Upgrades!$D:$D,'Item Type by Set'!L$2)</f>
        <v>2</v>
      </c>
      <c r="M9" s="68">
        <f>COUNTIFS(Upgrades!$H:$H,'Item Type by Set'!$H9,Upgrades!$D:$D,'Item Type by Set'!M$2)</f>
        <v>2</v>
      </c>
      <c r="N9" s="68">
        <f>COUNTIFS(Upgrades!$H:$H,'Item Type by Set'!$H9,Upgrades!$D:$D,'Item Type by Set'!N$2)</f>
        <v>5</v>
      </c>
      <c r="O9" s="62">
        <f t="shared" si="0"/>
        <v>15</v>
      </c>
      <c r="Q9" s="63" t="s">
        <v>137</v>
      </c>
      <c r="R9" s="69">
        <v>1</v>
      </c>
      <c r="S9" s="69">
        <v>2</v>
      </c>
      <c r="T9" s="69">
        <v>3</v>
      </c>
      <c r="U9" s="69">
        <v>4</v>
      </c>
      <c r="V9" s="69">
        <v>5</v>
      </c>
      <c r="W9" s="69">
        <v>6</v>
      </c>
      <c r="X9" s="64" t="s">
        <v>1998</v>
      </c>
    </row>
    <row r="10" spans="1:24" x14ac:dyDescent="0.25">
      <c r="A10" s="53"/>
      <c r="B10" s="52" t="s">
        <v>30</v>
      </c>
      <c r="C10" s="50"/>
      <c r="D10" s="51">
        <v>26</v>
      </c>
      <c r="H10" s="58" t="s">
        <v>9</v>
      </c>
      <c r="I10" s="68">
        <f>COUNTIFS(Upgrades!$H:$H,'Item Type by Set'!$H10,Upgrades!$D:$D,'Item Type by Set'!I$2)</f>
        <v>4</v>
      </c>
      <c r="J10" s="68">
        <f>COUNTIFS(Upgrades!$H:$H,'Item Type by Set'!$H10,Upgrades!$D:$D,'Item Type by Set'!J$2)</f>
        <v>2</v>
      </c>
      <c r="K10" s="68">
        <f>COUNTIFS(Upgrades!$H:$H,'Item Type by Set'!$H10,Upgrades!$D:$D,'Item Type by Set'!K$2)</f>
        <v>5</v>
      </c>
      <c r="L10" s="68">
        <f>COUNTIFS(Upgrades!$H:$H,'Item Type by Set'!$H10,Upgrades!$D:$D,'Item Type by Set'!L$2)</f>
        <v>4</v>
      </c>
      <c r="M10" s="68">
        <f>COUNTIFS(Upgrades!$H:$H,'Item Type by Set'!$H10,Upgrades!$D:$D,'Item Type by Set'!M$2)</f>
        <v>2</v>
      </c>
      <c r="N10" s="68">
        <f>COUNTIFS(Upgrades!$H:$H,'Item Type by Set'!$H10,Upgrades!$D:$D,'Item Type by Set'!N$2)</f>
        <v>0</v>
      </c>
      <c r="O10" s="62">
        <f t="shared" si="0"/>
        <v>17</v>
      </c>
      <c r="Q10" s="65" t="s">
        <v>29</v>
      </c>
      <c r="R10" s="68">
        <f>SUMIFS(Upgrades!$C:$C,Upgrades!$G:$G,'Item Type by Set'!$Q10,Upgrades!$D:$D,'Item Type by Set'!R$9)</f>
        <v>7</v>
      </c>
      <c r="S10" s="68">
        <f>SUMIFS(Upgrades!$C:$C,Upgrades!$G:$G,'Item Type by Set'!$Q10,Upgrades!$D:$D,'Item Type by Set'!S$9)</f>
        <v>6</v>
      </c>
      <c r="T10" s="68">
        <f>SUMIFS(Upgrades!$C:$C,Upgrades!$G:$G,'Item Type by Set'!$Q10,Upgrades!$D:$D,'Item Type by Set'!T$9)</f>
        <v>5</v>
      </c>
      <c r="U10" s="68">
        <f>SUMIFS(Upgrades!$C:$C,Upgrades!$G:$G,'Item Type by Set'!$Q10,Upgrades!$D:$D,'Item Type by Set'!U$9)</f>
        <v>6</v>
      </c>
      <c r="V10" s="68">
        <f>SUMIFS(Upgrades!$C:$C,Upgrades!$G:$G,'Item Type by Set'!$Q10,Upgrades!$D:$D,'Item Type by Set'!V$9)</f>
        <v>6</v>
      </c>
      <c r="W10" s="68">
        <f>SUMIFS(Upgrades!$C:$C,Upgrades!$G:$G,'Item Type by Set'!$Q10,Upgrades!$D:$D,'Item Type by Set'!W$9)</f>
        <v>12</v>
      </c>
      <c r="X10" s="62">
        <f>SUM(R10:W10)</f>
        <v>42</v>
      </c>
    </row>
    <row r="11" spans="1:24" x14ac:dyDescent="0.25">
      <c r="A11" s="53"/>
      <c r="B11" s="52" t="s">
        <v>24</v>
      </c>
      <c r="C11" s="50"/>
      <c r="D11" s="51">
        <v>15</v>
      </c>
      <c r="H11" s="58" t="s">
        <v>35</v>
      </c>
      <c r="I11" s="68">
        <f>COUNTIFS(Upgrades!$H:$H,'Item Type by Set'!$H11,Upgrades!$D:$D,'Item Type by Set'!I$2)</f>
        <v>5</v>
      </c>
      <c r="J11" s="68">
        <f>COUNTIFS(Upgrades!$H:$H,'Item Type by Set'!$H11,Upgrades!$D:$D,'Item Type by Set'!J$2)</f>
        <v>6</v>
      </c>
      <c r="K11" s="68">
        <f>COUNTIFS(Upgrades!$H:$H,'Item Type by Set'!$H11,Upgrades!$D:$D,'Item Type by Set'!K$2)</f>
        <v>6</v>
      </c>
      <c r="L11" s="68">
        <f>COUNTIFS(Upgrades!$H:$H,'Item Type by Set'!$H11,Upgrades!$D:$D,'Item Type by Set'!L$2)</f>
        <v>5</v>
      </c>
      <c r="M11" s="68">
        <f>COUNTIFS(Upgrades!$H:$H,'Item Type by Set'!$H11,Upgrades!$D:$D,'Item Type by Set'!M$2)</f>
        <v>4</v>
      </c>
      <c r="N11" s="68">
        <f>COUNTIFS(Upgrades!$H:$H,'Item Type by Set'!$H11,Upgrades!$D:$D,'Item Type by Set'!N$2)</f>
        <v>13</v>
      </c>
      <c r="O11" s="62">
        <f t="shared" si="0"/>
        <v>39</v>
      </c>
      <c r="Q11" s="65" t="s">
        <v>266</v>
      </c>
      <c r="R11" s="68">
        <f>SUMIFS(Upgrades!$C:$C,Upgrades!$G:$G,'Item Type by Set'!$Q11,Upgrades!$D:$D,'Item Type by Set'!R$9)</f>
        <v>2</v>
      </c>
      <c r="S11" s="68">
        <f>SUMIFS(Upgrades!$C:$C,Upgrades!$G:$G,'Item Type by Set'!$Q11,Upgrades!$D:$D,'Item Type by Set'!S$9)</f>
        <v>2</v>
      </c>
      <c r="T11" s="68">
        <f>SUMIFS(Upgrades!$C:$C,Upgrades!$G:$G,'Item Type by Set'!$Q11,Upgrades!$D:$D,'Item Type by Set'!T$9)</f>
        <v>2</v>
      </c>
      <c r="U11" s="68">
        <f>SUMIFS(Upgrades!$C:$C,Upgrades!$G:$G,'Item Type by Set'!$Q11,Upgrades!$D:$D,'Item Type by Set'!U$9)</f>
        <v>0</v>
      </c>
      <c r="V11" s="68">
        <f>SUMIFS(Upgrades!$C:$C,Upgrades!$G:$G,'Item Type by Set'!$Q11,Upgrades!$D:$D,'Item Type by Set'!V$9)</f>
        <v>2</v>
      </c>
      <c r="W11" s="68">
        <f>SUMIFS(Upgrades!$C:$C,Upgrades!$G:$G,'Item Type by Set'!$Q11,Upgrades!$D:$D,'Item Type by Set'!W$9)</f>
        <v>0</v>
      </c>
      <c r="X11" s="62">
        <f t="shared" ref="X11:X12" si="3">SUM(R11:W11)</f>
        <v>8</v>
      </c>
    </row>
    <row r="12" spans="1:24" x14ac:dyDescent="0.25">
      <c r="A12" s="53"/>
      <c r="B12" s="52" t="s">
        <v>35</v>
      </c>
      <c r="C12" s="50"/>
      <c r="D12" s="51">
        <v>19</v>
      </c>
      <c r="H12" s="58" t="s">
        <v>48</v>
      </c>
      <c r="I12" s="68">
        <f>COUNTIFS(Upgrades!$H:$H,'Item Type by Set'!$H12,Upgrades!$D:$D,'Item Type by Set'!I$2)</f>
        <v>1</v>
      </c>
      <c r="J12" s="68">
        <f>COUNTIFS(Upgrades!$H:$H,'Item Type by Set'!$H12,Upgrades!$D:$D,'Item Type by Set'!J$2)</f>
        <v>2</v>
      </c>
      <c r="K12" s="68">
        <f>COUNTIFS(Upgrades!$H:$H,'Item Type by Set'!$H12,Upgrades!$D:$D,'Item Type by Set'!K$2)</f>
        <v>1</v>
      </c>
      <c r="L12" s="68">
        <f>COUNTIFS(Upgrades!$H:$H,'Item Type by Set'!$H12,Upgrades!$D:$D,'Item Type by Set'!L$2)</f>
        <v>2</v>
      </c>
      <c r="M12" s="68">
        <f>COUNTIFS(Upgrades!$H:$H,'Item Type by Set'!$H12,Upgrades!$D:$D,'Item Type by Set'!M$2)</f>
        <v>2</v>
      </c>
      <c r="N12" s="68">
        <f>COUNTIFS(Upgrades!$H:$H,'Item Type by Set'!$H12,Upgrades!$D:$D,'Item Type by Set'!N$2)</f>
        <v>0</v>
      </c>
      <c r="O12" s="62">
        <f t="shared" si="0"/>
        <v>8</v>
      </c>
      <c r="Q12" s="65" t="s">
        <v>713</v>
      </c>
      <c r="R12" s="68">
        <f>SUMIFS(Upgrades!$C:$C,Upgrades!$G:$G,'Item Type by Set'!$Q12,Upgrades!$D:$D,'Item Type by Set'!R$9)</f>
        <v>2</v>
      </c>
      <c r="S12" s="68">
        <f>SUMIFS(Upgrades!$C:$C,Upgrades!$G:$G,'Item Type by Set'!$Q12,Upgrades!$D:$D,'Item Type by Set'!S$9)</f>
        <v>2</v>
      </c>
      <c r="T12" s="68">
        <f>SUMIFS(Upgrades!$C:$C,Upgrades!$G:$G,'Item Type by Set'!$Q12,Upgrades!$D:$D,'Item Type by Set'!T$9)</f>
        <v>2</v>
      </c>
      <c r="U12" s="68">
        <f>SUMIFS(Upgrades!$C:$C,Upgrades!$G:$G,'Item Type by Set'!$Q12,Upgrades!$D:$D,'Item Type by Set'!U$9)</f>
        <v>2</v>
      </c>
      <c r="V12" s="68">
        <f>SUMIFS(Upgrades!$C:$C,Upgrades!$G:$G,'Item Type by Set'!$Q12,Upgrades!$D:$D,'Item Type by Set'!V$9)</f>
        <v>2</v>
      </c>
      <c r="W12" s="68">
        <f>SUMIFS(Upgrades!$C:$C,Upgrades!$G:$G,'Item Type by Set'!$Q12,Upgrades!$D:$D,'Item Type by Set'!W$9)</f>
        <v>0</v>
      </c>
      <c r="X12" s="62">
        <f t="shared" si="3"/>
        <v>10</v>
      </c>
    </row>
    <row r="13" spans="1:24" ht="15.75" thickBot="1" x14ac:dyDescent="0.3">
      <c r="A13" s="53"/>
      <c r="B13" s="52" t="s">
        <v>41</v>
      </c>
      <c r="C13" s="50"/>
      <c r="D13" s="51">
        <v>10</v>
      </c>
      <c r="H13" s="58" t="s">
        <v>149</v>
      </c>
      <c r="I13" s="68">
        <f>COUNTIFS(Upgrades!$H:$H,'Item Type by Set'!$H13,Upgrades!$D:$D,'Item Type by Set'!I$2)</f>
        <v>1</v>
      </c>
      <c r="J13" s="68">
        <f>COUNTIFS(Upgrades!$H:$H,'Item Type by Set'!$H13,Upgrades!$D:$D,'Item Type by Set'!J$2)</f>
        <v>1</v>
      </c>
      <c r="K13" s="68">
        <f>COUNTIFS(Upgrades!$H:$H,'Item Type by Set'!$H13,Upgrades!$D:$D,'Item Type by Set'!K$2)</f>
        <v>3</v>
      </c>
      <c r="L13" s="68">
        <f>COUNTIFS(Upgrades!$H:$H,'Item Type by Set'!$H13,Upgrades!$D:$D,'Item Type by Set'!L$2)</f>
        <v>2</v>
      </c>
      <c r="M13" s="68">
        <f>COUNTIFS(Upgrades!$H:$H,'Item Type by Set'!$H13,Upgrades!$D:$D,'Item Type by Set'!M$2)</f>
        <v>2</v>
      </c>
      <c r="N13" s="68">
        <f>COUNTIFS(Upgrades!$H:$H,'Item Type by Set'!$H13,Upgrades!$D:$D,'Item Type by Set'!N$2)</f>
        <v>3</v>
      </c>
      <c r="O13" s="62">
        <f t="shared" si="0"/>
        <v>12</v>
      </c>
      <c r="Q13" s="66" t="s">
        <v>1998</v>
      </c>
      <c r="R13" s="71">
        <f>SUM(R10:R12)</f>
        <v>11</v>
      </c>
      <c r="S13" s="71">
        <f t="shared" ref="S13" si="4">SUM(S10:S12)</f>
        <v>10</v>
      </c>
      <c r="T13" s="71">
        <f t="shared" ref="T13" si="5">SUM(T10:T12)</f>
        <v>9</v>
      </c>
      <c r="U13" s="71">
        <f t="shared" ref="U13" si="6">SUM(U10:U12)</f>
        <v>8</v>
      </c>
      <c r="V13" s="71">
        <f t="shared" ref="V13" si="7">SUM(V10:V12)</f>
        <v>10</v>
      </c>
      <c r="W13" s="71">
        <f t="shared" ref="W13" si="8">SUM(W10:W12)</f>
        <v>12</v>
      </c>
      <c r="X13" s="61"/>
    </row>
    <row r="14" spans="1:24" x14ac:dyDescent="0.25">
      <c r="A14" s="53"/>
      <c r="B14" s="52" t="s">
        <v>68</v>
      </c>
      <c r="C14" s="50"/>
      <c r="D14" s="51">
        <v>2</v>
      </c>
      <c r="H14" s="58" t="s">
        <v>68</v>
      </c>
      <c r="I14" s="68">
        <f>COUNTIFS(Upgrades!$H:$H,'Item Type by Set'!$H14,Upgrades!$D:$D,'Item Type by Set'!I$2)</f>
        <v>1</v>
      </c>
      <c r="J14" s="68">
        <f>COUNTIFS(Upgrades!$H:$H,'Item Type by Set'!$H14,Upgrades!$D:$D,'Item Type by Set'!J$2)</f>
        <v>1</v>
      </c>
      <c r="K14" s="68">
        <f>COUNTIFS(Upgrades!$H:$H,'Item Type by Set'!$H14,Upgrades!$D:$D,'Item Type by Set'!K$2)</f>
        <v>0</v>
      </c>
      <c r="L14" s="68">
        <f>COUNTIFS(Upgrades!$H:$H,'Item Type by Set'!$H14,Upgrades!$D:$D,'Item Type by Set'!L$2)</f>
        <v>1</v>
      </c>
      <c r="M14" s="68">
        <f>COUNTIFS(Upgrades!$H:$H,'Item Type by Set'!$H14,Upgrades!$D:$D,'Item Type by Set'!M$2)</f>
        <v>0</v>
      </c>
      <c r="N14" s="68">
        <f>COUNTIFS(Upgrades!$H:$H,'Item Type by Set'!$H14,Upgrades!$D:$D,'Item Type by Set'!N$2)</f>
        <v>1</v>
      </c>
      <c r="O14" s="62">
        <f t="shared" si="0"/>
        <v>4</v>
      </c>
    </row>
    <row r="15" spans="1:24" ht="15.75" thickBot="1" x14ac:dyDescent="0.3">
      <c r="A15" s="53"/>
      <c r="B15" s="52" t="s">
        <v>23</v>
      </c>
      <c r="C15" s="50"/>
      <c r="D15" s="51">
        <v>32</v>
      </c>
      <c r="H15" s="58" t="s">
        <v>298</v>
      </c>
      <c r="I15" s="68">
        <f>COUNTIFS(Upgrades!$H:$H,'Item Type by Set'!$H15,Upgrades!$D:$D,'Item Type by Set'!I$2)</f>
        <v>2</v>
      </c>
      <c r="J15" s="68">
        <f>COUNTIFS(Upgrades!$H:$H,'Item Type by Set'!$H15,Upgrades!$D:$D,'Item Type by Set'!J$2)</f>
        <v>1</v>
      </c>
      <c r="K15" s="68">
        <f>COUNTIFS(Upgrades!$H:$H,'Item Type by Set'!$H15,Upgrades!$D:$D,'Item Type by Set'!K$2)</f>
        <v>2</v>
      </c>
      <c r="L15" s="68">
        <f>COUNTIFS(Upgrades!$H:$H,'Item Type by Set'!$H15,Upgrades!$D:$D,'Item Type by Set'!L$2)</f>
        <v>0</v>
      </c>
      <c r="M15" s="68">
        <f>COUNTIFS(Upgrades!$H:$H,'Item Type by Set'!$H15,Upgrades!$D:$D,'Item Type by Set'!M$2)</f>
        <v>2</v>
      </c>
      <c r="N15" s="68">
        <f>COUNTIFS(Upgrades!$H:$H,'Item Type by Set'!$H15,Upgrades!$D:$D,'Item Type by Set'!N$2)</f>
        <v>0</v>
      </c>
      <c r="O15" s="62">
        <f t="shared" si="0"/>
        <v>7</v>
      </c>
      <c r="Q15" s="72" t="s">
        <v>2052</v>
      </c>
    </row>
    <row r="16" spans="1:24" x14ac:dyDescent="0.25">
      <c r="A16" s="53"/>
      <c r="B16" s="52" t="s">
        <v>48</v>
      </c>
      <c r="C16" s="50"/>
      <c r="D16" s="51">
        <v>6</v>
      </c>
      <c r="H16" s="59" t="s">
        <v>185</v>
      </c>
      <c r="I16" s="68">
        <f>COUNTIFS(Upgrades!$H:$H,'Item Type by Set'!$H16,Upgrades!$D:$D,'Item Type by Set'!I$2)</f>
        <v>0</v>
      </c>
      <c r="J16" s="68">
        <f>COUNTIFS(Upgrades!$H:$H,'Item Type by Set'!$H16,Upgrades!$D:$D,'Item Type by Set'!J$2)</f>
        <v>0</v>
      </c>
      <c r="K16" s="68">
        <f>COUNTIFS(Upgrades!$H:$H,'Item Type by Set'!$H16,Upgrades!$D:$D,'Item Type by Set'!K$2)</f>
        <v>0</v>
      </c>
      <c r="L16" s="68">
        <f>COUNTIFS(Upgrades!$H:$H,'Item Type by Set'!$H16,Upgrades!$D:$D,'Item Type by Set'!L$2)</f>
        <v>0</v>
      </c>
      <c r="M16" s="68">
        <f>COUNTIFS(Upgrades!$H:$H,'Item Type by Set'!$H16,Upgrades!$D:$D,'Item Type by Set'!M$2)</f>
        <v>0</v>
      </c>
      <c r="N16" s="68">
        <f>COUNTIFS(Upgrades!$H:$H,'Item Type by Set'!$H16,Upgrades!$D:$D,'Item Type by Set'!N$2)</f>
        <v>1</v>
      </c>
      <c r="O16" s="62">
        <f t="shared" si="0"/>
        <v>1</v>
      </c>
      <c r="Q16" s="63" t="s">
        <v>10</v>
      </c>
      <c r="R16" s="69">
        <v>1</v>
      </c>
      <c r="S16" s="69">
        <v>2</v>
      </c>
      <c r="T16" s="69">
        <v>3</v>
      </c>
      <c r="U16" s="69">
        <v>4</v>
      </c>
      <c r="V16" s="69">
        <v>5</v>
      </c>
      <c r="W16" s="69">
        <v>6</v>
      </c>
      <c r="X16" s="64" t="s">
        <v>1998</v>
      </c>
    </row>
    <row r="17" spans="1:24" x14ac:dyDescent="0.25">
      <c r="A17" s="53"/>
      <c r="B17" s="52" t="s">
        <v>22</v>
      </c>
      <c r="C17" s="50"/>
      <c r="D17" s="51">
        <v>19</v>
      </c>
      <c r="H17" s="59" t="s">
        <v>166</v>
      </c>
      <c r="I17" s="68">
        <f>COUNTIFS(Upgrades!$H:$H,'Item Type by Set'!$H17,Upgrades!$D:$D,'Item Type by Set'!I$2)</f>
        <v>0</v>
      </c>
      <c r="J17" s="68">
        <f>COUNTIFS(Upgrades!$H:$H,'Item Type by Set'!$H17,Upgrades!$D:$D,'Item Type by Set'!J$2)</f>
        <v>0</v>
      </c>
      <c r="K17" s="68">
        <f>COUNTIFS(Upgrades!$H:$H,'Item Type by Set'!$H17,Upgrades!$D:$D,'Item Type by Set'!K$2)</f>
        <v>0</v>
      </c>
      <c r="L17" s="68">
        <f>COUNTIFS(Upgrades!$H:$H,'Item Type by Set'!$H17,Upgrades!$D:$D,'Item Type by Set'!L$2)</f>
        <v>0</v>
      </c>
      <c r="M17" s="68">
        <f>COUNTIFS(Upgrades!$H:$H,'Item Type by Set'!$H17,Upgrades!$D:$D,'Item Type by Set'!M$2)</f>
        <v>0</v>
      </c>
      <c r="N17" s="68">
        <f>COUNTIFS(Upgrades!$H:$H,'Item Type by Set'!$H17,Upgrades!$D:$D,'Item Type by Set'!N$2)</f>
        <v>3</v>
      </c>
      <c r="O17" s="62">
        <f t="shared" si="0"/>
        <v>3</v>
      </c>
      <c r="Q17" s="65" t="s">
        <v>9</v>
      </c>
      <c r="R17" s="68">
        <f>SUMIFS(Upgrades!$C:$C,Upgrades!$G:$G,'Item Type by Set'!$Q17,Upgrades!$D:$D,'Item Type by Set'!R$9)</f>
        <v>0</v>
      </c>
      <c r="S17" s="68">
        <v>1</v>
      </c>
      <c r="T17" s="68">
        <v>1</v>
      </c>
      <c r="U17" s="68">
        <f>SUMIFS(Upgrades!$C:$C,Upgrades!$G:$G,'Item Type by Set'!$Q17,Upgrades!$D:$D,'Item Type by Set'!U$9)</f>
        <v>0</v>
      </c>
      <c r="V17" s="68">
        <f>SUMIFS(Upgrades!$C:$C,Upgrades!$G:$G,'Item Type by Set'!$Q17,Upgrades!$D:$D,'Item Type by Set'!V$9)</f>
        <v>0</v>
      </c>
      <c r="W17" s="68">
        <f>SUMIFS(Upgrades!$C:$C,Upgrades!$G:$G,'Item Type by Set'!$Q17,Upgrades!$D:$D,'Item Type by Set'!W$9)</f>
        <v>0</v>
      </c>
      <c r="X17" s="62">
        <f>SUM(R17:W17)</f>
        <v>2</v>
      </c>
    </row>
    <row r="18" spans="1:24" x14ac:dyDescent="0.25">
      <c r="A18" s="53"/>
      <c r="B18" s="52" t="s">
        <v>149</v>
      </c>
      <c r="C18" s="50"/>
      <c r="D18" s="51">
        <v>5</v>
      </c>
      <c r="H18" s="59" t="s">
        <v>238</v>
      </c>
      <c r="I18" s="68">
        <f>COUNTIFS(Upgrades!$H:$H,'Item Type by Set'!$H18,Upgrades!$D:$D,'Item Type by Set'!I$2)</f>
        <v>0</v>
      </c>
      <c r="J18" s="68">
        <f>COUNTIFS(Upgrades!$H:$H,'Item Type by Set'!$H18,Upgrades!$D:$D,'Item Type by Set'!J$2)</f>
        <v>0</v>
      </c>
      <c r="K18" s="68">
        <f>COUNTIFS(Upgrades!$H:$H,'Item Type by Set'!$H18,Upgrades!$D:$D,'Item Type by Set'!K$2)</f>
        <v>0</v>
      </c>
      <c r="L18" s="68">
        <f>COUNTIFS(Upgrades!$H:$H,'Item Type by Set'!$H18,Upgrades!$D:$D,'Item Type by Set'!L$2)</f>
        <v>0</v>
      </c>
      <c r="M18" s="68">
        <f>COUNTIFS(Upgrades!$H:$H,'Item Type by Set'!$H18,Upgrades!$D:$D,'Item Type by Set'!M$2)</f>
        <v>0</v>
      </c>
      <c r="N18" s="68">
        <f>COUNTIFS(Upgrades!$H:$H,'Item Type by Set'!$H18,Upgrades!$D:$D,'Item Type by Set'!N$2)</f>
        <v>1</v>
      </c>
      <c r="O18" s="62">
        <f t="shared" si="0"/>
        <v>1</v>
      </c>
      <c r="Q18" s="65" t="s">
        <v>70</v>
      </c>
      <c r="R18" s="68">
        <f>SUMIFS(Upgrades!$C:$C,Upgrades!$G:$G,'Item Type by Set'!$Q18,Upgrades!$D:$D,'Item Type by Set'!R$9)</f>
        <v>0</v>
      </c>
      <c r="S18" s="68">
        <f>SUMIFS(Upgrades!$C:$C,Upgrades!$G:$G,'Item Type by Set'!$Q18,Upgrades!$D:$D,'Item Type by Set'!S$9)</f>
        <v>0</v>
      </c>
      <c r="T18" s="68">
        <v>1</v>
      </c>
      <c r="U18" s="68">
        <f>SUMIFS(Upgrades!$C:$C,Upgrades!$G:$G,'Item Type by Set'!$Q18,Upgrades!$D:$D,'Item Type by Set'!U$9)</f>
        <v>0</v>
      </c>
      <c r="V18" s="68">
        <f>SUMIFS(Upgrades!$C:$C,Upgrades!$G:$G,'Item Type by Set'!$Q18,Upgrades!$D:$D,'Item Type by Set'!V$9)</f>
        <v>0</v>
      </c>
      <c r="W18" s="68">
        <f>SUMIFS(Upgrades!$C:$C,Upgrades!$G:$G,'Item Type by Set'!$Q18,Upgrades!$D:$D,'Item Type by Set'!W$9)</f>
        <v>0</v>
      </c>
      <c r="X18" s="62">
        <f t="shared" ref="X18:X20" si="9">SUM(R18:W18)</f>
        <v>1</v>
      </c>
    </row>
    <row r="19" spans="1:24" x14ac:dyDescent="0.25">
      <c r="A19" s="52" t="s">
        <v>1987</v>
      </c>
      <c r="B19" s="50"/>
      <c r="C19" s="50"/>
      <c r="D19" s="51">
        <v>160</v>
      </c>
      <c r="H19" s="59" t="s">
        <v>146</v>
      </c>
      <c r="I19" s="68">
        <f>COUNTIFS(Upgrades!$H:$H,'Item Type by Set'!$H19,Upgrades!$D:$D,'Item Type by Set'!I$2)</f>
        <v>0</v>
      </c>
      <c r="J19" s="68">
        <f>COUNTIFS(Upgrades!$H:$H,'Item Type by Set'!$H19,Upgrades!$D:$D,'Item Type by Set'!J$2)</f>
        <v>0</v>
      </c>
      <c r="K19" s="68">
        <f>COUNTIFS(Upgrades!$H:$H,'Item Type by Set'!$H19,Upgrades!$D:$D,'Item Type by Set'!K$2)</f>
        <v>0</v>
      </c>
      <c r="L19" s="68">
        <f>COUNTIFS(Upgrades!$H:$H,'Item Type by Set'!$H19,Upgrades!$D:$D,'Item Type by Set'!L$2)</f>
        <v>0</v>
      </c>
      <c r="M19" s="68">
        <f>COUNTIFS(Upgrades!$H:$H,'Item Type by Set'!$H19,Upgrades!$D:$D,'Item Type by Set'!M$2)</f>
        <v>0</v>
      </c>
      <c r="N19" s="68">
        <f>COUNTIFS(Upgrades!$H:$H,'Item Type by Set'!$H19,Upgrades!$D:$D,'Item Type by Set'!N$2)</f>
        <v>2</v>
      </c>
      <c r="O19" s="62">
        <f t="shared" si="0"/>
        <v>2</v>
      </c>
      <c r="Q19" s="65" t="s">
        <v>30</v>
      </c>
      <c r="R19" s="68">
        <v>2</v>
      </c>
      <c r="S19" s="68">
        <v>1</v>
      </c>
      <c r="T19" s="68">
        <v>0</v>
      </c>
      <c r="U19" s="68">
        <v>2</v>
      </c>
      <c r="V19" s="68">
        <v>3</v>
      </c>
      <c r="W19" s="68">
        <v>6</v>
      </c>
      <c r="X19" s="62">
        <f t="shared" si="9"/>
        <v>14</v>
      </c>
    </row>
    <row r="20" spans="1:24" x14ac:dyDescent="0.25">
      <c r="A20" s="52" t="s">
        <v>523</v>
      </c>
      <c r="B20" s="52" t="s">
        <v>9</v>
      </c>
      <c r="C20" s="50"/>
      <c r="D20" s="51">
        <v>3</v>
      </c>
      <c r="H20" s="59" t="s">
        <v>225</v>
      </c>
      <c r="I20" s="68">
        <f>COUNTIFS(Upgrades!$H:$H,'Item Type by Set'!$H20,Upgrades!$D:$D,'Item Type by Set'!I$2)</f>
        <v>0</v>
      </c>
      <c r="J20" s="68">
        <f>COUNTIFS(Upgrades!$H:$H,'Item Type by Set'!$H20,Upgrades!$D:$D,'Item Type by Set'!J$2)</f>
        <v>0</v>
      </c>
      <c r="K20" s="68">
        <f>COUNTIFS(Upgrades!$H:$H,'Item Type by Set'!$H20,Upgrades!$D:$D,'Item Type by Set'!K$2)</f>
        <v>0</v>
      </c>
      <c r="L20" s="68">
        <f>COUNTIFS(Upgrades!$H:$H,'Item Type by Set'!$H20,Upgrades!$D:$D,'Item Type by Set'!L$2)</f>
        <v>0</v>
      </c>
      <c r="M20" s="68">
        <f>COUNTIFS(Upgrades!$H:$H,'Item Type by Set'!$H20,Upgrades!$D:$D,'Item Type by Set'!M$2)</f>
        <v>0</v>
      </c>
      <c r="N20" s="68">
        <f>COUNTIFS(Upgrades!$H:$H,'Item Type by Set'!$H20,Upgrades!$D:$D,'Item Type by Set'!N$2)</f>
        <v>1</v>
      </c>
      <c r="O20" s="62">
        <f t="shared" si="0"/>
        <v>1</v>
      </c>
      <c r="Q20" s="65" t="s">
        <v>35</v>
      </c>
      <c r="R20" s="68">
        <v>4</v>
      </c>
      <c r="S20" s="68">
        <v>3</v>
      </c>
      <c r="T20" s="68">
        <v>4</v>
      </c>
      <c r="U20" s="68">
        <v>4</v>
      </c>
      <c r="V20" s="68">
        <v>3</v>
      </c>
      <c r="W20" s="68">
        <v>5</v>
      </c>
      <c r="X20" s="62">
        <f t="shared" si="9"/>
        <v>23</v>
      </c>
    </row>
    <row r="21" spans="1:24" ht="15.75" thickBot="1" x14ac:dyDescent="0.3">
      <c r="A21" s="53"/>
      <c r="B21" s="52" t="s">
        <v>70</v>
      </c>
      <c r="C21" s="50"/>
      <c r="D21" s="51">
        <v>2</v>
      </c>
      <c r="H21" s="66" t="s">
        <v>1998</v>
      </c>
      <c r="I21" s="60">
        <f>SUM(I3:I20)</f>
        <v>32</v>
      </c>
      <c r="J21" s="60">
        <f t="shared" ref="J21:N21" si="10">SUM(J3:J20)</f>
        <v>36</v>
      </c>
      <c r="K21" s="60">
        <f t="shared" si="10"/>
        <v>37</v>
      </c>
      <c r="L21" s="60">
        <f t="shared" si="10"/>
        <v>41</v>
      </c>
      <c r="M21" s="60">
        <f t="shared" si="10"/>
        <v>39</v>
      </c>
      <c r="N21" s="60">
        <f t="shared" si="10"/>
        <v>61</v>
      </c>
      <c r="O21" s="61">
        <v>246</v>
      </c>
      <c r="Q21" s="66" t="s">
        <v>1998</v>
      </c>
      <c r="R21" s="71">
        <f t="shared" ref="R21:W21" si="11">SUM(R17:R20)</f>
        <v>6</v>
      </c>
      <c r="S21" s="71">
        <f t="shared" si="11"/>
        <v>5</v>
      </c>
      <c r="T21" s="71">
        <f t="shared" si="11"/>
        <v>6</v>
      </c>
      <c r="U21" s="71">
        <f t="shared" si="11"/>
        <v>6</v>
      </c>
      <c r="V21" s="71">
        <f t="shared" si="11"/>
        <v>6</v>
      </c>
      <c r="W21" s="71">
        <f t="shared" si="11"/>
        <v>11</v>
      </c>
      <c r="X21" s="61">
        <v>40</v>
      </c>
    </row>
    <row r="22" spans="1:24" x14ac:dyDescent="0.25">
      <c r="A22" s="53"/>
      <c r="B22" s="52" t="s">
        <v>62</v>
      </c>
      <c r="C22" s="50"/>
      <c r="D22" s="51">
        <v>4</v>
      </c>
    </row>
    <row r="23" spans="1:24" x14ac:dyDescent="0.25">
      <c r="A23" s="53"/>
      <c r="B23" s="52" t="s">
        <v>30</v>
      </c>
      <c r="C23" s="50"/>
      <c r="D23" s="51">
        <v>7</v>
      </c>
    </row>
    <row r="24" spans="1:24" ht="15.75" thickBot="1" x14ac:dyDescent="0.3">
      <c r="A24" s="53"/>
      <c r="B24" s="52" t="s">
        <v>24</v>
      </c>
      <c r="C24" s="50"/>
      <c r="D24" s="51">
        <v>4</v>
      </c>
      <c r="H24" s="57" t="s">
        <v>2051</v>
      </c>
    </row>
    <row r="25" spans="1:24" x14ac:dyDescent="0.25">
      <c r="A25" s="53"/>
      <c r="B25" s="52" t="s">
        <v>298</v>
      </c>
      <c r="C25" s="50"/>
      <c r="D25" s="51">
        <v>2</v>
      </c>
      <c r="H25" s="63" t="s">
        <v>10</v>
      </c>
      <c r="I25" s="69">
        <v>1</v>
      </c>
      <c r="J25" s="69">
        <v>2</v>
      </c>
      <c r="K25" s="69">
        <v>3</v>
      </c>
      <c r="L25" s="69">
        <v>4</v>
      </c>
      <c r="M25" s="69">
        <v>5</v>
      </c>
      <c r="N25" s="69">
        <v>6</v>
      </c>
      <c r="O25" s="70" t="s">
        <v>1998</v>
      </c>
    </row>
    <row r="26" spans="1:24" x14ac:dyDescent="0.25">
      <c r="A26" s="53"/>
      <c r="B26" s="52" t="s">
        <v>35</v>
      </c>
      <c r="C26" s="50"/>
      <c r="D26" s="51">
        <v>7</v>
      </c>
      <c r="H26" s="58" t="s">
        <v>22</v>
      </c>
      <c r="I26" s="68">
        <f>COUNTIFS(Upgrades!$H:$H,'Item Type by Set'!$H26,Upgrades!$D:$D,'Item Type by Set'!I$2)</f>
        <v>2</v>
      </c>
      <c r="J26" s="68">
        <f>COUNTIFS(Upgrades!$H:$H,'Item Type by Set'!$H26,Upgrades!$D:$D,'Item Type by Set'!J$2)</f>
        <v>2</v>
      </c>
      <c r="K26" s="68">
        <f>COUNTIFS(Upgrades!$H:$H,'Item Type by Set'!$H26,Upgrades!$D:$D,'Item Type by Set'!K$2)</f>
        <v>1</v>
      </c>
      <c r="L26" s="68">
        <f>COUNTIFS(Upgrades!$H:$H,'Item Type by Set'!$H26,Upgrades!$D:$D,'Item Type by Set'!L$2)</f>
        <v>2</v>
      </c>
      <c r="M26" s="68">
        <f>COUNTIFS(Upgrades!$H:$H,'Item Type by Set'!$H26,Upgrades!$D:$D,'Item Type by Set'!M$2)</f>
        <v>2</v>
      </c>
      <c r="N26" s="68">
        <f>COUNTIFS(Upgrades!$H:$H,'Item Type by Set'!$H26,Upgrades!$D:$D,'Item Type by Set'!N$2)</f>
        <v>3</v>
      </c>
      <c r="O26" s="62">
        <f>SUM(I26:N26)</f>
        <v>12</v>
      </c>
    </row>
    <row r="27" spans="1:24" x14ac:dyDescent="0.25">
      <c r="A27" s="53"/>
      <c r="B27" s="52" t="s">
        <v>41</v>
      </c>
      <c r="C27" s="50"/>
      <c r="D27" s="51">
        <v>1</v>
      </c>
      <c r="H27" s="58" t="s">
        <v>62</v>
      </c>
      <c r="I27" s="68">
        <f>COUNTIFS(Upgrades!$H:$H,'Item Type by Set'!$H27,Upgrades!$D:$D,'Item Type by Set'!I$2)</f>
        <v>1</v>
      </c>
      <c r="J27" s="68">
        <f>COUNTIFS(Upgrades!$H:$H,'Item Type by Set'!$H27,Upgrades!$D:$D,'Item Type by Set'!J$2)</f>
        <v>1</v>
      </c>
      <c r="K27" s="68">
        <f>COUNTIFS(Upgrades!$H:$H,'Item Type by Set'!$H27,Upgrades!$D:$D,'Item Type by Set'!K$2)</f>
        <v>0</v>
      </c>
      <c r="L27" s="68">
        <f>COUNTIFS(Upgrades!$H:$H,'Item Type by Set'!$H27,Upgrades!$D:$D,'Item Type by Set'!L$2)</f>
        <v>1</v>
      </c>
      <c r="M27" s="68">
        <f>COUNTIFS(Upgrades!$H:$H,'Item Type by Set'!$H27,Upgrades!$D:$D,'Item Type by Set'!M$2)</f>
        <v>0</v>
      </c>
      <c r="N27" s="68">
        <f>COUNTIFS(Upgrades!$H:$H,'Item Type by Set'!$H27,Upgrades!$D:$D,'Item Type by Set'!N$2)</f>
        <v>1</v>
      </c>
      <c r="O27" s="62">
        <f t="shared" ref="O27:O43" si="12">SUM(I27:N27)</f>
        <v>4</v>
      </c>
    </row>
    <row r="28" spans="1:24" x14ac:dyDescent="0.25">
      <c r="A28" s="53"/>
      <c r="B28" s="52" t="s">
        <v>68</v>
      </c>
      <c r="C28" s="50"/>
      <c r="D28" s="51">
        <v>2</v>
      </c>
      <c r="H28" s="58" t="s">
        <v>41</v>
      </c>
      <c r="I28" s="68">
        <f>COUNTIFS(Upgrades!$H:$H,'Item Type by Set'!$H28,Upgrades!$D:$D,'Item Type by Set'!I$2)</f>
        <v>3</v>
      </c>
      <c r="J28" s="68">
        <f>COUNTIFS(Upgrades!$H:$H,'Item Type by Set'!$H28,Upgrades!$D:$D,'Item Type by Set'!J$2)</f>
        <v>2</v>
      </c>
      <c r="K28" s="68">
        <f>COUNTIFS(Upgrades!$H:$H,'Item Type by Set'!$H28,Upgrades!$D:$D,'Item Type by Set'!K$2)</f>
        <v>3</v>
      </c>
      <c r="L28" s="68">
        <f>COUNTIFS(Upgrades!$H:$H,'Item Type by Set'!$H28,Upgrades!$D:$D,'Item Type by Set'!L$2)</f>
        <v>2</v>
      </c>
      <c r="M28" s="68">
        <f>COUNTIFS(Upgrades!$H:$H,'Item Type by Set'!$H28,Upgrades!$D:$D,'Item Type by Set'!M$2)</f>
        <v>2</v>
      </c>
      <c r="N28" s="68">
        <f>COUNTIFS(Upgrades!$H:$H,'Item Type by Set'!$H28,Upgrades!$D:$D,'Item Type by Set'!N$2)</f>
        <v>2</v>
      </c>
      <c r="O28" s="62">
        <f t="shared" si="12"/>
        <v>14</v>
      </c>
    </row>
    <row r="29" spans="1:24" x14ac:dyDescent="0.25">
      <c r="A29" s="53"/>
      <c r="B29" s="52" t="s">
        <v>23</v>
      </c>
      <c r="C29" s="50"/>
      <c r="D29" s="51">
        <v>11</v>
      </c>
      <c r="H29" s="58" t="s">
        <v>24</v>
      </c>
      <c r="I29" s="68">
        <f>COUNTIFS(Upgrades!$H:$H,'Item Type by Set'!$H29,Upgrades!$D:$D,'Item Type by Set'!I$2)</f>
        <v>2</v>
      </c>
      <c r="J29" s="68">
        <f>COUNTIFS(Upgrades!$H:$H,'Item Type by Set'!$H29,Upgrades!$D:$D,'Item Type by Set'!J$2)</f>
        <v>3</v>
      </c>
      <c r="K29" s="68">
        <f>COUNTIFS(Upgrades!$H:$H,'Item Type by Set'!$H29,Upgrades!$D:$D,'Item Type by Set'!K$2)</f>
        <v>2</v>
      </c>
      <c r="L29" s="68">
        <f>COUNTIFS(Upgrades!$H:$H,'Item Type by Set'!$H29,Upgrades!$D:$D,'Item Type by Set'!L$2)</f>
        <v>3</v>
      </c>
      <c r="M29" s="68">
        <f>COUNTIFS(Upgrades!$H:$H,'Item Type by Set'!$H29,Upgrades!$D:$D,'Item Type by Set'!M$2)</f>
        <v>3</v>
      </c>
      <c r="N29" s="68">
        <f>COUNTIFS(Upgrades!$H:$H,'Item Type by Set'!$H29,Upgrades!$D:$D,'Item Type by Set'!N$2)</f>
        <v>3</v>
      </c>
      <c r="O29" s="62">
        <f t="shared" si="12"/>
        <v>16</v>
      </c>
    </row>
    <row r="30" spans="1:24" x14ac:dyDescent="0.25">
      <c r="A30" s="53"/>
      <c r="B30" s="52" t="s">
        <v>48</v>
      </c>
      <c r="C30" s="50"/>
      <c r="D30" s="51">
        <v>1</v>
      </c>
      <c r="H30" s="58" t="s">
        <v>23</v>
      </c>
      <c r="I30" s="68">
        <f>COUNTIFS(Upgrades!$H:$H,'Item Type by Set'!$H30,Upgrades!$D:$D,'Item Type by Set'!I$2)</f>
        <v>5</v>
      </c>
      <c r="J30" s="68">
        <f>COUNTIFS(Upgrades!$H:$H,'Item Type by Set'!$H30,Upgrades!$D:$D,'Item Type by Set'!J$2)</f>
        <v>5</v>
      </c>
      <c r="K30" s="68">
        <f>COUNTIFS(Upgrades!$H:$H,'Item Type by Set'!$H30,Upgrades!$D:$D,'Item Type by Set'!K$2)</f>
        <v>8</v>
      </c>
      <c r="L30" s="68">
        <f>COUNTIFS(Upgrades!$H:$H,'Item Type by Set'!$H30,Upgrades!$D:$D,'Item Type by Set'!L$2)</f>
        <v>10</v>
      </c>
      <c r="M30" s="68">
        <f>COUNTIFS(Upgrades!$H:$H,'Item Type by Set'!$H30,Upgrades!$D:$D,'Item Type by Set'!M$2)</f>
        <v>7</v>
      </c>
      <c r="N30" s="68">
        <f>COUNTIFS(Upgrades!$H:$H,'Item Type by Set'!$H30,Upgrades!$D:$D,'Item Type by Set'!N$2)</f>
        <v>12</v>
      </c>
      <c r="O30" s="62">
        <f t="shared" si="12"/>
        <v>47</v>
      </c>
    </row>
    <row r="31" spans="1:24" x14ac:dyDescent="0.25">
      <c r="A31" s="53"/>
      <c r="B31" s="52" t="s">
        <v>22</v>
      </c>
      <c r="C31" s="50"/>
      <c r="D31" s="51">
        <v>2</v>
      </c>
      <c r="H31" s="58" t="s">
        <v>30</v>
      </c>
      <c r="I31" s="68">
        <f>COUNTIFS(Upgrades!$H:$H,'Item Type by Set'!$H31,Upgrades!$D:$D,'Item Type by Set'!I$2)-R19</f>
        <v>2</v>
      </c>
      <c r="J31" s="68">
        <f>COUNTIFS(Upgrades!$H:$H,'Item Type by Set'!$H31,Upgrades!$D:$D,'Item Type by Set'!J$2)-S19</f>
        <v>6</v>
      </c>
      <c r="K31" s="68">
        <f>COUNTIFS(Upgrades!$H:$H,'Item Type by Set'!$H31,Upgrades!$D:$D,'Item Type by Set'!K$2)-T19</f>
        <v>4</v>
      </c>
      <c r="L31" s="68">
        <f>COUNTIFS(Upgrades!$H:$H,'Item Type by Set'!$H31,Upgrades!$D:$D,'Item Type by Set'!L$2)-U19</f>
        <v>5</v>
      </c>
      <c r="M31" s="68">
        <f>COUNTIFS(Upgrades!$H:$H,'Item Type by Set'!$H31,Upgrades!$D:$D,'Item Type by Set'!M$2)-V19</f>
        <v>8</v>
      </c>
      <c r="N31" s="68">
        <f>COUNTIFS(Upgrades!$H:$H,'Item Type by Set'!$H31,Upgrades!$D:$D,'Item Type by Set'!N$2)-W19</f>
        <v>4</v>
      </c>
      <c r="O31" s="62">
        <f t="shared" si="12"/>
        <v>29</v>
      </c>
    </row>
    <row r="32" spans="1:24" x14ac:dyDescent="0.25">
      <c r="A32" s="53"/>
      <c r="B32" s="52" t="s">
        <v>149</v>
      </c>
      <c r="C32" s="50"/>
      <c r="D32" s="51">
        <v>2</v>
      </c>
      <c r="H32" s="58" t="s">
        <v>70</v>
      </c>
      <c r="I32" s="68">
        <f>COUNTIFS(Upgrades!$H:$H,'Item Type by Set'!$H32,Upgrades!$D:$D,'Item Type by Set'!I$2)</f>
        <v>1</v>
      </c>
      <c r="J32" s="68">
        <f>COUNTIFS(Upgrades!$H:$H,'Item Type by Set'!$H32,Upgrades!$D:$D,'Item Type by Set'!J$2)</f>
        <v>3</v>
      </c>
      <c r="K32" s="68">
        <f>COUNTIFS(Upgrades!$H:$H,'Item Type by Set'!$H32,Upgrades!$D:$D,'Item Type by Set'!K$2)-T18</f>
        <v>1</v>
      </c>
      <c r="L32" s="68">
        <f>COUNTIFS(Upgrades!$H:$H,'Item Type by Set'!$H32,Upgrades!$D:$D,'Item Type by Set'!L$2)</f>
        <v>2</v>
      </c>
      <c r="M32" s="68">
        <f>COUNTIFS(Upgrades!$H:$H,'Item Type by Set'!$H32,Upgrades!$D:$D,'Item Type by Set'!M$2)</f>
        <v>2</v>
      </c>
      <c r="N32" s="68">
        <f>COUNTIFS(Upgrades!$H:$H,'Item Type by Set'!$H32,Upgrades!$D:$D,'Item Type by Set'!N$2)</f>
        <v>5</v>
      </c>
      <c r="O32" s="62">
        <f t="shared" si="12"/>
        <v>14</v>
      </c>
    </row>
    <row r="33" spans="1:15" x14ac:dyDescent="0.25">
      <c r="A33" s="52" t="s">
        <v>1988</v>
      </c>
      <c r="B33" s="50"/>
      <c r="C33" s="50"/>
      <c r="D33" s="51">
        <v>48</v>
      </c>
      <c r="H33" s="58" t="s">
        <v>9</v>
      </c>
      <c r="I33" s="68">
        <f>COUNTIFS(Upgrades!$H:$H,'Item Type by Set'!$H33,Upgrades!$D:$D,'Item Type by Set'!I$2)</f>
        <v>4</v>
      </c>
      <c r="J33" s="68">
        <f>COUNTIFS(Upgrades!$H:$H,'Item Type by Set'!$H33,Upgrades!$D:$D,'Item Type by Set'!J$2)-S17</f>
        <v>1</v>
      </c>
      <c r="K33" s="68">
        <f>COUNTIFS(Upgrades!$H:$H,'Item Type by Set'!$H33,Upgrades!$D:$D,'Item Type by Set'!K$2)-T17</f>
        <v>4</v>
      </c>
      <c r="L33" s="68">
        <f>COUNTIFS(Upgrades!$H:$H,'Item Type by Set'!$H33,Upgrades!$D:$D,'Item Type by Set'!L$2)</f>
        <v>4</v>
      </c>
      <c r="M33" s="68">
        <f>COUNTIFS(Upgrades!$H:$H,'Item Type by Set'!$H33,Upgrades!$D:$D,'Item Type by Set'!M$2)</f>
        <v>2</v>
      </c>
      <c r="N33" s="68">
        <f>COUNTIFS(Upgrades!$H:$H,'Item Type by Set'!$H33,Upgrades!$D:$D,'Item Type by Set'!N$2)</f>
        <v>0</v>
      </c>
      <c r="O33" s="62">
        <f t="shared" si="12"/>
        <v>15</v>
      </c>
    </row>
    <row r="34" spans="1:15" x14ac:dyDescent="0.25">
      <c r="A34" s="52" t="s">
        <v>79</v>
      </c>
      <c r="B34" s="52" t="s">
        <v>70</v>
      </c>
      <c r="C34" s="50"/>
      <c r="D34" s="51">
        <v>2</v>
      </c>
      <c r="H34" s="58" t="s">
        <v>35</v>
      </c>
      <c r="I34" s="68">
        <f>COUNTIFS(Upgrades!$H:$H,'Item Type by Set'!$H34,Upgrades!$D:$D,'Item Type by Set'!I$2)-R20</f>
        <v>1</v>
      </c>
      <c r="J34" s="68">
        <f>COUNTIFS(Upgrades!$H:$H,'Item Type by Set'!$H34,Upgrades!$D:$D,'Item Type by Set'!J$2)-S20</f>
        <v>3</v>
      </c>
      <c r="K34" s="68">
        <f>COUNTIFS(Upgrades!$H:$H,'Item Type by Set'!$H34,Upgrades!$D:$D,'Item Type by Set'!K$2)-T20</f>
        <v>2</v>
      </c>
      <c r="L34" s="68">
        <f>COUNTIFS(Upgrades!$H:$H,'Item Type by Set'!$H34,Upgrades!$D:$D,'Item Type by Set'!L$2)-U20</f>
        <v>1</v>
      </c>
      <c r="M34" s="68">
        <f>COUNTIFS(Upgrades!$H:$H,'Item Type by Set'!$H34,Upgrades!$D:$D,'Item Type by Set'!M$2)-V20</f>
        <v>1</v>
      </c>
      <c r="N34" s="68">
        <f>COUNTIFS(Upgrades!$H:$H,'Item Type by Set'!$H34,Upgrades!$D:$D,'Item Type by Set'!N$2)-W20</f>
        <v>8</v>
      </c>
      <c r="O34" s="62">
        <f t="shared" si="12"/>
        <v>16</v>
      </c>
    </row>
    <row r="35" spans="1:15" x14ac:dyDescent="0.25">
      <c r="A35" s="53"/>
      <c r="B35" s="52" t="s">
        <v>62</v>
      </c>
      <c r="C35" s="50"/>
      <c r="D35" s="51">
        <v>2</v>
      </c>
      <c r="H35" s="58" t="s">
        <v>48</v>
      </c>
      <c r="I35" s="68">
        <f>COUNTIFS(Upgrades!$H:$H,'Item Type by Set'!$H35,Upgrades!$D:$D,'Item Type by Set'!I$2)</f>
        <v>1</v>
      </c>
      <c r="J35" s="68">
        <f>COUNTIFS(Upgrades!$H:$H,'Item Type by Set'!$H35,Upgrades!$D:$D,'Item Type by Set'!J$2)</f>
        <v>2</v>
      </c>
      <c r="K35" s="68">
        <f>COUNTIFS(Upgrades!$H:$H,'Item Type by Set'!$H35,Upgrades!$D:$D,'Item Type by Set'!K$2)</f>
        <v>1</v>
      </c>
      <c r="L35" s="68">
        <f>COUNTIFS(Upgrades!$H:$H,'Item Type by Set'!$H35,Upgrades!$D:$D,'Item Type by Set'!L$2)</f>
        <v>2</v>
      </c>
      <c r="M35" s="68">
        <f>COUNTIFS(Upgrades!$H:$H,'Item Type by Set'!$H35,Upgrades!$D:$D,'Item Type by Set'!M$2)</f>
        <v>2</v>
      </c>
      <c r="N35" s="68">
        <f>COUNTIFS(Upgrades!$H:$H,'Item Type by Set'!$H35,Upgrades!$D:$D,'Item Type by Set'!N$2)</f>
        <v>0</v>
      </c>
      <c r="O35" s="62">
        <f t="shared" si="12"/>
        <v>8</v>
      </c>
    </row>
    <row r="36" spans="1:15" x14ac:dyDescent="0.25">
      <c r="A36" s="53"/>
      <c r="B36" s="52" t="s">
        <v>30</v>
      </c>
      <c r="C36" s="50"/>
      <c r="D36" s="51">
        <v>3</v>
      </c>
      <c r="H36" s="58" t="s">
        <v>149</v>
      </c>
      <c r="I36" s="68">
        <f>COUNTIFS(Upgrades!$H:$H,'Item Type by Set'!$H36,Upgrades!$D:$D,'Item Type by Set'!I$2)</f>
        <v>1</v>
      </c>
      <c r="J36" s="68">
        <f>COUNTIFS(Upgrades!$H:$H,'Item Type by Set'!$H36,Upgrades!$D:$D,'Item Type by Set'!J$2)</f>
        <v>1</v>
      </c>
      <c r="K36" s="68">
        <f>COUNTIFS(Upgrades!$H:$H,'Item Type by Set'!$H36,Upgrades!$D:$D,'Item Type by Set'!K$2)</f>
        <v>3</v>
      </c>
      <c r="L36" s="68">
        <f>COUNTIFS(Upgrades!$H:$H,'Item Type by Set'!$H36,Upgrades!$D:$D,'Item Type by Set'!L$2)</f>
        <v>2</v>
      </c>
      <c r="M36" s="68">
        <f>COUNTIFS(Upgrades!$H:$H,'Item Type by Set'!$H36,Upgrades!$D:$D,'Item Type by Set'!M$2)</f>
        <v>2</v>
      </c>
      <c r="N36" s="68">
        <f>COUNTIFS(Upgrades!$H:$H,'Item Type by Set'!$H36,Upgrades!$D:$D,'Item Type by Set'!N$2)</f>
        <v>3</v>
      </c>
      <c r="O36" s="62">
        <f t="shared" si="12"/>
        <v>12</v>
      </c>
    </row>
    <row r="37" spans="1:15" x14ac:dyDescent="0.25">
      <c r="A37" s="53"/>
      <c r="B37" s="52" t="s">
        <v>24</v>
      </c>
      <c r="C37" s="50"/>
      <c r="D37" s="51">
        <v>2</v>
      </c>
      <c r="H37" s="58" t="s">
        <v>68</v>
      </c>
      <c r="I37" s="68">
        <f>COUNTIFS(Upgrades!$H:$H,'Item Type by Set'!$H37,Upgrades!$D:$D,'Item Type by Set'!I$2)</f>
        <v>1</v>
      </c>
      <c r="J37" s="68">
        <f>COUNTIFS(Upgrades!$H:$H,'Item Type by Set'!$H37,Upgrades!$D:$D,'Item Type by Set'!J$2)</f>
        <v>1</v>
      </c>
      <c r="K37" s="68">
        <f>COUNTIFS(Upgrades!$H:$H,'Item Type by Set'!$H37,Upgrades!$D:$D,'Item Type by Set'!K$2)</f>
        <v>0</v>
      </c>
      <c r="L37" s="68">
        <f>COUNTIFS(Upgrades!$H:$H,'Item Type by Set'!$H37,Upgrades!$D:$D,'Item Type by Set'!L$2)</f>
        <v>1</v>
      </c>
      <c r="M37" s="68">
        <f>COUNTIFS(Upgrades!$H:$H,'Item Type by Set'!$H37,Upgrades!$D:$D,'Item Type by Set'!M$2)</f>
        <v>0</v>
      </c>
      <c r="N37" s="68">
        <f>COUNTIFS(Upgrades!$H:$H,'Item Type by Set'!$H37,Upgrades!$D:$D,'Item Type by Set'!N$2)</f>
        <v>1</v>
      </c>
      <c r="O37" s="62">
        <f t="shared" si="12"/>
        <v>4</v>
      </c>
    </row>
    <row r="38" spans="1:15" x14ac:dyDescent="0.25">
      <c r="A38" s="53"/>
      <c r="B38" s="52" t="s">
        <v>35</v>
      </c>
      <c r="C38" s="50"/>
      <c r="D38" s="51">
        <v>5</v>
      </c>
      <c r="H38" s="58" t="s">
        <v>298</v>
      </c>
      <c r="I38" s="68">
        <f>COUNTIFS(Upgrades!$H:$H,'Item Type by Set'!$H38,Upgrades!$D:$D,'Item Type by Set'!I$2)</f>
        <v>2</v>
      </c>
      <c r="J38" s="68">
        <f>COUNTIFS(Upgrades!$H:$H,'Item Type by Set'!$H38,Upgrades!$D:$D,'Item Type by Set'!J$2)</f>
        <v>1</v>
      </c>
      <c r="K38" s="68">
        <f>COUNTIFS(Upgrades!$H:$H,'Item Type by Set'!$H38,Upgrades!$D:$D,'Item Type by Set'!K$2)</f>
        <v>2</v>
      </c>
      <c r="L38" s="68">
        <f>COUNTIFS(Upgrades!$H:$H,'Item Type by Set'!$H38,Upgrades!$D:$D,'Item Type by Set'!L$2)</f>
        <v>0</v>
      </c>
      <c r="M38" s="68">
        <f>COUNTIFS(Upgrades!$H:$H,'Item Type by Set'!$H38,Upgrades!$D:$D,'Item Type by Set'!M$2)</f>
        <v>2</v>
      </c>
      <c r="N38" s="68">
        <f>COUNTIFS(Upgrades!$H:$H,'Item Type by Set'!$H38,Upgrades!$D:$D,'Item Type by Set'!N$2)</f>
        <v>0</v>
      </c>
      <c r="O38" s="62">
        <f t="shared" si="12"/>
        <v>7</v>
      </c>
    </row>
    <row r="39" spans="1:15" x14ac:dyDescent="0.25">
      <c r="A39" s="53"/>
      <c r="B39" s="52" t="s">
        <v>166</v>
      </c>
      <c r="C39" s="50"/>
      <c r="D39" s="51">
        <v>2</v>
      </c>
      <c r="H39" s="59" t="s">
        <v>185</v>
      </c>
      <c r="I39" s="68">
        <f>COUNTIFS(Upgrades!$H:$H,'Item Type by Set'!$H39,Upgrades!$D:$D,'Item Type by Set'!I$2)</f>
        <v>0</v>
      </c>
      <c r="J39" s="68">
        <f>COUNTIFS(Upgrades!$H:$H,'Item Type by Set'!$H39,Upgrades!$D:$D,'Item Type by Set'!J$2)</f>
        <v>0</v>
      </c>
      <c r="K39" s="68">
        <f>COUNTIFS(Upgrades!$H:$H,'Item Type by Set'!$H39,Upgrades!$D:$D,'Item Type by Set'!K$2)</f>
        <v>0</v>
      </c>
      <c r="L39" s="68">
        <f>COUNTIFS(Upgrades!$H:$H,'Item Type by Set'!$H39,Upgrades!$D:$D,'Item Type by Set'!L$2)</f>
        <v>0</v>
      </c>
      <c r="M39" s="68">
        <f>COUNTIFS(Upgrades!$H:$H,'Item Type by Set'!$H39,Upgrades!$D:$D,'Item Type by Set'!M$2)</f>
        <v>0</v>
      </c>
      <c r="N39" s="68">
        <f>COUNTIFS(Upgrades!$H:$H,'Item Type by Set'!$H39,Upgrades!$D:$D,'Item Type by Set'!N$2)</f>
        <v>1</v>
      </c>
      <c r="O39" s="62">
        <f t="shared" si="12"/>
        <v>1</v>
      </c>
    </row>
    <row r="40" spans="1:15" x14ac:dyDescent="0.25">
      <c r="A40" s="53"/>
      <c r="B40" s="52" t="s">
        <v>23</v>
      </c>
      <c r="C40" s="50"/>
      <c r="D40" s="51">
        <v>6</v>
      </c>
      <c r="H40" s="59" t="s">
        <v>166</v>
      </c>
      <c r="I40" s="68">
        <f>COUNTIFS(Upgrades!$H:$H,'Item Type by Set'!$H40,Upgrades!$D:$D,'Item Type by Set'!I$2)</f>
        <v>0</v>
      </c>
      <c r="J40" s="68">
        <f>COUNTIFS(Upgrades!$H:$H,'Item Type by Set'!$H40,Upgrades!$D:$D,'Item Type by Set'!J$2)</f>
        <v>0</v>
      </c>
      <c r="K40" s="68">
        <f>COUNTIFS(Upgrades!$H:$H,'Item Type by Set'!$H40,Upgrades!$D:$D,'Item Type by Set'!K$2)</f>
        <v>0</v>
      </c>
      <c r="L40" s="68">
        <f>COUNTIFS(Upgrades!$H:$H,'Item Type by Set'!$H40,Upgrades!$D:$D,'Item Type by Set'!L$2)</f>
        <v>0</v>
      </c>
      <c r="M40" s="68">
        <f>COUNTIFS(Upgrades!$H:$H,'Item Type by Set'!$H40,Upgrades!$D:$D,'Item Type by Set'!M$2)</f>
        <v>0</v>
      </c>
      <c r="N40" s="68">
        <f>COUNTIFS(Upgrades!$H:$H,'Item Type by Set'!$H40,Upgrades!$D:$D,'Item Type by Set'!N$2)</f>
        <v>3</v>
      </c>
      <c r="O40" s="62">
        <f t="shared" si="12"/>
        <v>3</v>
      </c>
    </row>
    <row r="41" spans="1:15" x14ac:dyDescent="0.25">
      <c r="A41" s="53"/>
      <c r="B41" s="52" t="s">
        <v>22</v>
      </c>
      <c r="C41" s="50"/>
      <c r="D41" s="51">
        <v>1</v>
      </c>
      <c r="H41" s="59" t="s">
        <v>238</v>
      </c>
      <c r="I41" s="68">
        <f>COUNTIFS(Upgrades!$H:$H,'Item Type by Set'!$H41,Upgrades!$D:$D,'Item Type by Set'!I$2)</f>
        <v>0</v>
      </c>
      <c r="J41" s="68">
        <f>COUNTIFS(Upgrades!$H:$H,'Item Type by Set'!$H41,Upgrades!$D:$D,'Item Type by Set'!J$2)</f>
        <v>0</v>
      </c>
      <c r="K41" s="68">
        <f>COUNTIFS(Upgrades!$H:$H,'Item Type by Set'!$H41,Upgrades!$D:$D,'Item Type by Set'!K$2)</f>
        <v>0</v>
      </c>
      <c r="L41" s="68">
        <f>COUNTIFS(Upgrades!$H:$H,'Item Type by Set'!$H41,Upgrades!$D:$D,'Item Type by Set'!L$2)</f>
        <v>0</v>
      </c>
      <c r="M41" s="68">
        <f>COUNTIFS(Upgrades!$H:$H,'Item Type by Set'!$H41,Upgrades!$D:$D,'Item Type by Set'!M$2)</f>
        <v>0</v>
      </c>
      <c r="N41" s="68">
        <f>COUNTIFS(Upgrades!$H:$H,'Item Type by Set'!$H41,Upgrades!$D:$D,'Item Type by Set'!N$2)</f>
        <v>1</v>
      </c>
      <c r="O41" s="62">
        <f t="shared" si="12"/>
        <v>1</v>
      </c>
    </row>
    <row r="42" spans="1:15" x14ac:dyDescent="0.25">
      <c r="A42" s="53"/>
      <c r="B42" s="52" t="s">
        <v>185</v>
      </c>
      <c r="C42" s="50"/>
      <c r="D42" s="51">
        <v>2</v>
      </c>
      <c r="H42" s="59" t="s">
        <v>146</v>
      </c>
      <c r="I42" s="68">
        <f>COUNTIFS(Upgrades!$H:$H,'Item Type by Set'!$H42,Upgrades!$D:$D,'Item Type by Set'!I$2)</f>
        <v>0</v>
      </c>
      <c r="J42" s="68">
        <f>COUNTIFS(Upgrades!$H:$H,'Item Type by Set'!$H42,Upgrades!$D:$D,'Item Type by Set'!J$2)</f>
        <v>0</v>
      </c>
      <c r="K42" s="68">
        <f>COUNTIFS(Upgrades!$H:$H,'Item Type by Set'!$H42,Upgrades!$D:$D,'Item Type by Set'!K$2)</f>
        <v>0</v>
      </c>
      <c r="L42" s="68">
        <f>COUNTIFS(Upgrades!$H:$H,'Item Type by Set'!$H42,Upgrades!$D:$D,'Item Type by Set'!L$2)</f>
        <v>0</v>
      </c>
      <c r="M42" s="68">
        <f>COUNTIFS(Upgrades!$H:$H,'Item Type by Set'!$H42,Upgrades!$D:$D,'Item Type by Set'!M$2)</f>
        <v>0</v>
      </c>
      <c r="N42" s="68">
        <f>COUNTIFS(Upgrades!$H:$H,'Item Type by Set'!$H42,Upgrades!$D:$D,'Item Type by Set'!N$2)</f>
        <v>2</v>
      </c>
      <c r="O42" s="62">
        <f t="shared" si="12"/>
        <v>2</v>
      </c>
    </row>
    <row r="43" spans="1:15" x14ac:dyDescent="0.25">
      <c r="A43" s="53"/>
      <c r="B43" s="52" t="s">
        <v>149</v>
      </c>
      <c r="C43" s="50"/>
      <c r="D43" s="51">
        <v>2</v>
      </c>
      <c r="H43" s="59" t="s">
        <v>225</v>
      </c>
      <c r="I43" s="68">
        <f>COUNTIFS(Upgrades!$H:$H,'Item Type by Set'!$H43,Upgrades!$D:$D,'Item Type by Set'!I$2)</f>
        <v>0</v>
      </c>
      <c r="J43" s="68">
        <f>COUNTIFS(Upgrades!$H:$H,'Item Type by Set'!$H43,Upgrades!$D:$D,'Item Type by Set'!J$2)</f>
        <v>0</v>
      </c>
      <c r="K43" s="68">
        <f>COUNTIFS(Upgrades!$H:$H,'Item Type by Set'!$H43,Upgrades!$D:$D,'Item Type by Set'!K$2)</f>
        <v>0</v>
      </c>
      <c r="L43" s="68">
        <f>COUNTIFS(Upgrades!$H:$H,'Item Type by Set'!$H43,Upgrades!$D:$D,'Item Type by Set'!L$2)</f>
        <v>0</v>
      </c>
      <c r="M43" s="68">
        <f>COUNTIFS(Upgrades!$H:$H,'Item Type by Set'!$H43,Upgrades!$D:$D,'Item Type by Set'!M$2)</f>
        <v>0</v>
      </c>
      <c r="N43" s="68">
        <f>COUNTIFS(Upgrades!$H:$H,'Item Type by Set'!$H43,Upgrades!$D:$D,'Item Type by Set'!N$2)</f>
        <v>1</v>
      </c>
      <c r="O43" s="62">
        <f t="shared" si="12"/>
        <v>1</v>
      </c>
    </row>
    <row r="44" spans="1:15" ht="15.75" thickBot="1" x14ac:dyDescent="0.3">
      <c r="A44" s="52" t="s">
        <v>1989</v>
      </c>
      <c r="B44" s="50"/>
      <c r="C44" s="50"/>
      <c r="D44" s="51">
        <v>27</v>
      </c>
      <c r="H44" s="66" t="s">
        <v>1998</v>
      </c>
      <c r="I44" s="60">
        <f>SUM(I26:I43)</f>
        <v>26</v>
      </c>
      <c r="J44" s="60">
        <f t="shared" ref="J44" si="13">SUM(J26:J43)</f>
        <v>31</v>
      </c>
      <c r="K44" s="60">
        <f t="shared" ref="K44" si="14">SUM(K26:K43)</f>
        <v>31</v>
      </c>
      <c r="L44" s="60">
        <f t="shared" ref="L44" si="15">SUM(L26:L43)</f>
        <v>35</v>
      </c>
      <c r="M44" s="60">
        <f t="shared" ref="M44" si="16">SUM(M26:M43)</f>
        <v>33</v>
      </c>
      <c r="N44" s="60">
        <f t="shared" ref="N44" si="17">SUM(N26:N43)</f>
        <v>50</v>
      </c>
      <c r="O44" s="61">
        <v>206</v>
      </c>
    </row>
    <row r="45" spans="1:15" x14ac:dyDescent="0.25">
      <c r="A45" s="52" t="s">
        <v>121</v>
      </c>
      <c r="B45" s="52" t="s">
        <v>70</v>
      </c>
      <c r="C45" s="50"/>
      <c r="D45" s="51">
        <v>2</v>
      </c>
    </row>
    <row r="46" spans="1:15" x14ac:dyDescent="0.25">
      <c r="A46" s="53"/>
      <c r="B46" s="52" t="s">
        <v>225</v>
      </c>
      <c r="C46" s="50"/>
      <c r="D46" s="51">
        <v>2</v>
      </c>
    </row>
    <row r="47" spans="1:15" x14ac:dyDescent="0.25">
      <c r="A47" s="53"/>
      <c r="B47" s="52" t="s">
        <v>30</v>
      </c>
      <c r="C47" s="50"/>
      <c r="D47" s="51">
        <v>3</v>
      </c>
    </row>
    <row r="48" spans="1:15" x14ac:dyDescent="0.25">
      <c r="A48" s="53"/>
      <c r="B48" s="52" t="s">
        <v>24</v>
      </c>
      <c r="C48" s="50"/>
      <c r="D48" s="51">
        <v>2</v>
      </c>
    </row>
    <row r="49" spans="1:4" x14ac:dyDescent="0.25">
      <c r="A49" s="53"/>
      <c r="B49" s="52" t="s">
        <v>146</v>
      </c>
      <c r="C49" s="50"/>
      <c r="D49" s="51">
        <v>2</v>
      </c>
    </row>
    <row r="50" spans="1:4" x14ac:dyDescent="0.25">
      <c r="A50" s="53"/>
      <c r="B50" s="52" t="s">
        <v>35</v>
      </c>
      <c r="C50" s="50"/>
      <c r="D50" s="51">
        <v>5</v>
      </c>
    </row>
    <row r="51" spans="1:4" x14ac:dyDescent="0.25">
      <c r="A51" s="53"/>
      <c r="B51" s="52" t="s">
        <v>41</v>
      </c>
      <c r="C51" s="50"/>
      <c r="D51" s="51">
        <v>3</v>
      </c>
    </row>
    <row r="52" spans="1:4" x14ac:dyDescent="0.25">
      <c r="A52" s="53"/>
      <c r="B52" s="52" t="s">
        <v>23</v>
      </c>
      <c r="C52" s="50"/>
      <c r="D52" s="51">
        <v>5</v>
      </c>
    </row>
    <row r="53" spans="1:4" x14ac:dyDescent="0.25">
      <c r="A53" s="53"/>
      <c r="B53" s="52" t="s">
        <v>22</v>
      </c>
      <c r="C53" s="50"/>
      <c r="D53" s="51">
        <v>2</v>
      </c>
    </row>
    <row r="54" spans="1:4" x14ac:dyDescent="0.25">
      <c r="A54" s="53"/>
      <c r="B54" s="52" t="s">
        <v>149</v>
      </c>
      <c r="C54" s="50"/>
      <c r="D54" s="51">
        <v>1</v>
      </c>
    </row>
    <row r="55" spans="1:4" x14ac:dyDescent="0.25">
      <c r="A55" s="52" t="s">
        <v>1990</v>
      </c>
      <c r="B55" s="50"/>
      <c r="C55" s="50"/>
      <c r="D55" s="51">
        <v>27</v>
      </c>
    </row>
    <row r="56" spans="1:4" x14ac:dyDescent="0.25">
      <c r="A56" s="52" t="s">
        <v>96</v>
      </c>
      <c r="B56" s="52" t="s">
        <v>70</v>
      </c>
      <c r="C56" s="50"/>
      <c r="D56" s="51">
        <v>3</v>
      </c>
    </row>
    <row r="57" spans="1:4" x14ac:dyDescent="0.25">
      <c r="A57" s="53"/>
      <c r="B57" s="52" t="s">
        <v>30</v>
      </c>
      <c r="C57" s="50"/>
      <c r="D57" s="51">
        <v>3</v>
      </c>
    </row>
    <row r="58" spans="1:4" x14ac:dyDescent="0.25">
      <c r="A58" s="53"/>
      <c r="B58" s="52" t="s">
        <v>24</v>
      </c>
      <c r="C58" s="50"/>
      <c r="D58" s="51">
        <v>2</v>
      </c>
    </row>
    <row r="59" spans="1:4" x14ac:dyDescent="0.25">
      <c r="A59" s="53"/>
      <c r="B59" s="52" t="s">
        <v>35</v>
      </c>
      <c r="C59" s="50"/>
      <c r="D59" s="51">
        <v>4</v>
      </c>
    </row>
    <row r="60" spans="1:4" x14ac:dyDescent="0.25">
      <c r="A60" s="53"/>
      <c r="B60" s="52" t="s">
        <v>166</v>
      </c>
      <c r="C60" s="50"/>
      <c r="D60" s="51">
        <v>2</v>
      </c>
    </row>
    <row r="61" spans="1:4" x14ac:dyDescent="0.25">
      <c r="A61" s="53"/>
      <c r="B61" s="52" t="s">
        <v>238</v>
      </c>
      <c r="C61" s="50"/>
      <c r="D61" s="51">
        <v>2</v>
      </c>
    </row>
    <row r="62" spans="1:4" x14ac:dyDescent="0.25">
      <c r="A62" s="53"/>
      <c r="B62" s="52" t="s">
        <v>23</v>
      </c>
      <c r="C62" s="50"/>
      <c r="D62" s="51">
        <v>6</v>
      </c>
    </row>
    <row r="63" spans="1:4" x14ac:dyDescent="0.25">
      <c r="A63" s="53"/>
      <c r="B63" s="52" t="s">
        <v>22</v>
      </c>
      <c r="C63" s="50"/>
      <c r="D63" s="51">
        <v>3</v>
      </c>
    </row>
    <row r="64" spans="1:4" x14ac:dyDescent="0.25">
      <c r="A64" s="53"/>
      <c r="B64" s="52" t="s">
        <v>149</v>
      </c>
      <c r="C64" s="50"/>
      <c r="D64" s="51">
        <v>2</v>
      </c>
    </row>
    <row r="65" spans="1:4" x14ac:dyDescent="0.25">
      <c r="A65" s="52" t="s">
        <v>1991</v>
      </c>
      <c r="B65" s="50"/>
      <c r="C65" s="50"/>
      <c r="D65" s="51">
        <v>27</v>
      </c>
    </row>
    <row r="66" spans="1:4" x14ac:dyDescent="0.25">
      <c r="A66" s="52" t="s">
        <v>521</v>
      </c>
      <c r="B66" s="52" t="s">
        <v>9</v>
      </c>
      <c r="C66" s="50"/>
      <c r="D66" s="51">
        <v>12</v>
      </c>
    </row>
    <row r="67" spans="1:4" x14ac:dyDescent="0.25">
      <c r="A67" s="53"/>
      <c r="B67" s="52" t="s">
        <v>70</v>
      </c>
      <c r="C67" s="50"/>
      <c r="D67" s="51">
        <v>8</v>
      </c>
    </row>
    <row r="68" spans="1:4" x14ac:dyDescent="0.25">
      <c r="A68" s="53"/>
      <c r="B68" s="52" t="s">
        <v>30</v>
      </c>
      <c r="C68" s="50"/>
      <c r="D68" s="51">
        <v>25</v>
      </c>
    </row>
    <row r="69" spans="1:4" x14ac:dyDescent="0.25">
      <c r="A69" s="53"/>
      <c r="B69" s="52" t="s">
        <v>24</v>
      </c>
      <c r="C69" s="50"/>
      <c r="D69" s="51">
        <v>17</v>
      </c>
    </row>
    <row r="70" spans="1:4" x14ac:dyDescent="0.25">
      <c r="A70" s="53"/>
      <c r="B70" s="52" t="s">
        <v>298</v>
      </c>
      <c r="C70" s="50"/>
      <c r="D70" s="51">
        <v>8</v>
      </c>
    </row>
    <row r="71" spans="1:4" x14ac:dyDescent="0.25">
      <c r="A71" s="53"/>
      <c r="B71" s="52" t="s">
        <v>35</v>
      </c>
      <c r="C71" s="50"/>
      <c r="D71" s="51">
        <v>10</v>
      </c>
    </row>
    <row r="72" spans="1:4" x14ac:dyDescent="0.25">
      <c r="A72" s="53"/>
      <c r="B72" s="52" t="s">
        <v>41</v>
      </c>
      <c r="C72" s="50"/>
      <c r="D72" s="51">
        <v>8</v>
      </c>
    </row>
    <row r="73" spans="1:4" x14ac:dyDescent="0.25">
      <c r="A73" s="53"/>
      <c r="B73" s="52" t="s">
        <v>68</v>
      </c>
      <c r="C73" s="50"/>
      <c r="D73" s="51">
        <v>8</v>
      </c>
    </row>
    <row r="74" spans="1:4" x14ac:dyDescent="0.25">
      <c r="A74" s="53"/>
      <c r="B74" s="52" t="s">
        <v>23</v>
      </c>
      <c r="C74" s="50"/>
      <c r="D74" s="51">
        <v>30</v>
      </c>
    </row>
    <row r="75" spans="1:4" x14ac:dyDescent="0.25">
      <c r="A75" s="53"/>
      <c r="B75" s="52" t="s">
        <v>48</v>
      </c>
      <c r="C75" s="50"/>
      <c r="D75" s="51">
        <v>8</v>
      </c>
    </row>
    <row r="76" spans="1:4" x14ac:dyDescent="0.25">
      <c r="A76" s="53"/>
      <c r="B76" s="52" t="s">
        <v>22</v>
      </c>
      <c r="C76" s="50"/>
      <c r="D76" s="51">
        <v>12</v>
      </c>
    </row>
    <row r="77" spans="1:4" x14ac:dyDescent="0.25">
      <c r="A77" s="53"/>
      <c r="B77" s="52" t="s">
        <v>149</v>
      </c>
      <c r="C77" s="50"/>
      <c r="D77" s="51">
        <v>6</v>
      </c>
    </row>
    <row r="78" spans="1:4" x14ac:dyDescent="0.25">
      <c r="A78" s="52" t="s">
        <v>1992</v>
      </c>
      <c r="B78" s="50"/>
      <c r="C78" s="50"/>
      <c r="D78" s="51">
        <v>152</v>
      </c>
    </row>
    <row r="79" spans="1:4" x14ac:dyDescent="0.25">
      <c r="A79" s="52" t="s">
        <v>292</v>
      </c>
      <c r="B79" s="52" t="s">
        <v>9</v>
      </c>
      <c r="C79" s="50"/>
      <c r="D79" s="51">
        <v>8</v>
      </c>
    </row>
    <row r="80" spans="1:4" x14ac:dyDescent="0.25">
      <c r="A80" s="53"/>
      <c r="B80" s="52" t="s">
        <v>35</v>
      </c>
      <c r="C80" s="50"/>
      <c r="D80" s="51">
        <v>10</v>
      </c>
    </row>
    <row r="81" spans="1:4" x14ac:dyDescent="0.25">
      <c r="A81" s="53"/>
      <c r="B81" s="52" t="s">
        <v>149</v>
      </c>
      <c r="C81" s="50"/>
      <c r="D81" s="51">
        <v>2</v>
      </c>
    </row>
    <row r="82" spans="1:4" x14ac:dyDescent="0.25">
      <c r="A82" s="52" t="s">
        <v>1993</v>
      </c>
      <c r="B82" s="50"/>
      <c r="C82" s="50"/>
      <c r="D82" s="51">
        <v>20</v>
      </c>
    </row>
    <row r="83" spans="1:4" x14ac:dyDescent="0.25">
      <c r="A83" s="52" t="s">
        <v>110</v>
      </c>
      <c r="B83" s="52" t="s">
        <v>70</v>
      </c>
      <c r="C83" s="50"/>
      <c r="D83" s="51">
        <v>2</v>
      </c>
    </row>
    <row r="84" spans="1:4" x14ac:dyDescent="0.25">
      <c r="A84" s="53"/>
      <c r="B84" s="52" t="s">
        <v>30</v>
      </c>
      <c r="C84" s="50"/>
      <c r="D84" s="51">
        <v>3</v>
      </c>
    </row>
    <row r="85" spans="1:4" x14ac:dyDescent="0.25">
      <c r="A85" s="53"/>
      <c r="B85" s="52" t="s">
        <v>146</v>
      </c>
      <c r="C85" s="50"/>
      <c r="D85" s="51">
        <v>2</v>
      </c>
    </row>
    <row r="86" spans="1:4" x14ac:dyDescent="0.25">
      <c r="A86" s="53"/>
      <c r="B86" s="52" t="s">
        <v>35</v>
      </c>
      <c r="C86" s="50"/>
      <c r="D86" s="51">
        <v>5</v>
      </c>
    </row>
    <row r="87" spans="1:4" x14ac:dyDescent="0.25">
      <c r="A87" s="53"/>
      <c r="B87" s="52" t="s">
        <v>166</v>
      </c>
      <c r="C87" s="50"/>
      <c r="D87" s="51">
        <v>2</v>
      </c>
    </row>
    <row r="88" spans="1:4" x14ac:dyDescent="0.25">
      <c r="A88" s="53"/>
      <c r="B88" s="52" t="s">
        <v>41</v>
      </c>
      <c r="C88" s="50"/>
      <c r="D88" s="51">
        <v>2</v>
      </c>
    </row>
    <row r="89" spans="1:4" x14ac:dyDescent="0.25">
      <c r="A89" s="53"/>
      <c r="B89" s="52" t="s">
        <v>68</v>
      </c>
      <c r="C89" s="50"/>
      <c r="D89" s="51">
        <v>2</v>
      </c>
    </row>
    <row r="90" spans="1:4" x14ac:dyDescent="0.25">
      <c r="A90" s="53"/>
      <c r="B90" s="52" t="s">
        <v>23</v>
      </c>
      <c r="C90" s="50"/>
      <c r="D90" s="51">
        <v>7</v>
      </c>
    </row>
    <row r="91" spans="1:4" x14ac:dyDescent="0.25">
      <c r="A91" s="53"/>
      <c r="B91" s="52" t="s">
        <v>149</v>
      </c>
      <c r="C91" s="50"/>
      <c r="D91" s="51">
        <v>2</v>
      </c>
    </row>
    <row r="92" spans="1:4" x14ac:dyDescent="0.25">
      <c r="A92" s="52" t="s">
        <v>1994</v>
      </c>
      <c r="B92" s="50"/>
      <c r="C92" s="50"/>
      <c r="D92" s="51">
        <v>27</v>
      </c>
    </row>
    <row r="93" spans="1:4" x14ac:dyDescent="0.25">
      <c r="A93" s="52" t="s">
        <v>702</v>
      </c>
      <c r="B93" s="52" t="s">
        <v>70</v>
      </c>
      <c r="C93" s="50"/>
      <c r="D93" s="51">
        <v>2</v>
      </c>
    </row>
    <row r="94" spans="1:4" x14ac:dyDescent="0.25">
      <c r="A94" s="53"/>
      <c r="B94" s="52" t="s">
        <v>298</v>
      </c>
      <c r="C94" s="50"/>
      <c r="D94" s="51">
        <v>6</v>
      </c>
    </row>
    <row r="95" spans="1:4" x14ac:dyDescent="0.25">
      <c r="A95" s="53"/>
      <c r="B95" s="52" t="s">
        <v>35</v>
      </c>
      <c r="C95" s="50"/>
      <c r="D95" s="51">
        <v>18</v>
      </c>
    </row>
    <row r="96" spans="1:4" x14ac:dyDescent="0.25">
      <c r="A96" s="53"/>
      <c r="B96" s="52" t="s">
        <v>41</v>
      </c>
      <c r="C96" s="50"/>
      <c r="D96" s="51">
        <v>6</v>
      </c>
    </row>
    <row r="97" spans="1:4" x14ac:dyDescent="0.25">
      <c r="A97" s="53"/>
      <c r="B97" s="52" t="s">
        <v>23</v>
      </c>
      <c r="C97" s="50"/>
      <c r="D97" s="51">
        <v>8</v>
      </c>
    </row>
    <row r="98" spans="1:4" x14ac:dyDescent="0.25">
      <c r="A98" s="53"/>
      <c r="B98" s="52" t="s">
        <v>149</v>
      </c>
      <c r="C98" s="50"/>
      <c r="D98" s="51">
        <v>7</v>
      </c>
    </row>
    <row r="99" spans="1:4" x14ac:dyDescent="0.25">
      <c r="A99" s="52" t="s">
        <v>1995</v>
      </c>
      <c r="B99" s="50"/>
      <c r="C99" s="50"/>
      <c r="D99" s="51">
        <v>47</v>
      </c>
    </row>
    <row r="100" spans="1:4" x14ac:dyDescent="0.25">
      <c r="A100" s="52" t="s">
        <v>300</v>
      </c>
      <c r="B100" s="52" t="s">
        <v>298</v>
      </c>
      <c r="C100" s="50"/>
      <c r="D100" s="51">
        <v>1</v>
      </c>
    </row>
    <row r="101" spans="1:4" x14ac:dyDescent="0.25">
      <c r="A101" s="53"/>
      <c r="B101" s="52" t="s">
        <v>41</v>
      </c>
      <c r="C101" s="50"/>
      <c r="D101" s="51">
        <v>1</v>
      </c>
    </row>
    <row r="102" spans="1:4" x14ac:dyDescent="0.25">
      <c r="A102" s="52" t="s">
        <v>1996</v>
      </c>
      <c r="B102" s="50"/>
      <c r="C102" s="50"/>
      <c r="D102" s="51">
        <v>2</v>
      </c>
    </row>
    <row r="103" spans="1:4" x14ac:dyDescent="0.25">
      <c r="A103" s="54" t="s">
        <v>1985</v>
      </c>
      <c r="B103" s="55"/>
      <c r="C103" s="55"/>
      <c r="D103" s="56">
        <v>541</v>
      </c>
    </row>
  </sheetData>
  <conditionalFormatting sqref="I3:N20 R17:W20">
    <cfRule type="cellIs" dxfId="3" priority="5" operator="equal">
      <formula>0</formula>
    </cfRule>
  </conditionalFormatting>
  <conditionalFormatting sqref="I26:N43">
    <cfRule type="cellIs" dxfId="2" priority="2" operator="equal">
      <formula>0</formula>
    </cfRule>
  </conditionalFormatting>
  <conditionalFormatting sqref="R3:W5">
    <cfRule type="cellIs" dxfId="1" priority="4" operator="equal">
      <formula>0</formula>
    </cfRule>
  </conditionalFormatting>
  <conditionalFormatting sqref="R10:W12">
    <cfRule type="cellIs" dxfId="0" priority="3"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M309"/>
  <sheetViews>
    <sheetView workbookViewId="0"/>
  </sheetViews>
  <sheetFormatPr defaultRowHeight="15" x14ac:dyDescent="0.25"/>
  <cols>
    <col min="1" max="1" width="16.85546875" bestFit="1" customWidth="1"/>
    <col min="2" max="2" width="10.5703125" style="7" bestFit="1" customWidth="1"/>
    <col min="3" max="3" width="4.5703125" bestFit="1" customWidth="1"/>
    <col min="4" max="4" width="8" bestFit="1" customWidth="1"/>
    <col min="5" max="5" width="18.85546875" bestFit="1" customWidth="1"/>
    <col min="6" max="6" width="10" style="1" bestFit="1" customWidth="1"/>
    <col min="7" max="7" width="13.7109375" bestFit="1" customWidth="1"/>
    <col min="8" max="8" width="15.7109375" bestFit="1" customWidth="1"/>
    <col min="9" max="9" width="9" style="1" bestFit="1" customWidth="1"/>
    <col min="10" max="10" width="8.85546875" style="1" bestFit="1" customWidth="1"/>
    <col min="11" max="11" width="8" style="1" bestFit="1" customWidth="1"/>
    <col min="12" max="12" width="10.85546875" bestFit="1" customWidth="1"/>
    <col min="13" max="13" width="73.140625" style="1" customWidth="1"/>
    <col min="14" max="14" width="74.7109375" bestFit="1" customWidth="1"/>
  </cols>
  <sheetData>
    <row r="1" spans="1:13" x14ac:dyDescent="0.25">
      <c r="A1" t="s">
        <v>176</v>
      </c>
      <c r="B1" s="6" t="s">
        <v>135</v>
      </c>
      <c r="C1" s="5" t="s">
        <v>142</v>
      </c>
      <c r="D1" s="4" t="s">
        <v>5</v>
      </c>
      <c r="E1" s="4" t="s">
        <v>6</v>
      </c>
      <c r="F1" s="8" t="s">
        <v>136</v>
      </c>
      <c r="G1" s="4" t="s">
        <v>137</v>
      </c>
      <c r="H1" s="4" t="s">
        <v>10</v>
      </c>
      <c r="I1" s="8" t="s">
        <v>138</v>
      </c>
      <c r="J1" s="8" t="s">
        <v>140</v>
      </c>
      <c r="K1" s="8" t="s">
        <v>139</v>
      </c>
      <c r="L1" s="8" t="s">
        <v>1709</v>
      </c>
      <c r="M1" s="4" t="s">
        <v>141</v>
      </c>
    </row>
    <row r="2" spans="1:13" x14ac:dyDescent="0.25">
      <c r="A2" s="19" t="s">
        <v>701</v>
      </c>
      <c r="B2" s="20" t="s">
        <v>1612</v>
      </c>
      <c r="C2" s="21">
        <v>3</v>
      </c>
      <c r="D2" s="22">
        <v>1</v>
      </c>
      <c r="E2" s="23" t="s">
        <v>60</v>
      </c>
      <c r="F2" s="22">
        <v>1</v>
      </c>
      <c r="G2" s="23" t="s">
        <v>26</v>
      </c>
      <c r="H2" s="23" t="s">
        <v>22</v>
      </c>
      <c r="I2" s="22">
        <v>3</v>
      </c>
      <c r="J2" s="22">
        <v>1</v>
      </c>
      <c r="K2" s="22"/>
      <c r="L2" s="22">
        <v>1</v>
      </c>
      <c r="M2" s="23"/>
    </row>
    <row r="3" spans="1:13" x14ac:dyDescent="0.25">
      <c r="A3" s="19" t="s">
        <v>701</v>
      </c>
      <c r="B3" s="20" t="s">
        <v>1613</v>
      </c>
      <c r="C3" s="21">
        <v>2</v>
      </c>
      <c r="D3" s="22">
        <v>1</v>
      </c>
      <c r="E3" s="23" t="s">
        <v>65</v>
      </c>
      <c r="F3" s="22">
        <v>2</v>
      </c>
      <c r="G3" s="23" t="s">
        <v>26</v>
      </c>
      <c r="H3" s="23" t="s">
        <v>62</v>
      </c>
      <c r="I3" s="22">
        <v>3</v>
      </c>
      <c r="J3" s="22"/>
      <c r="K3" s="22"/>
      <c r="L3" s="22"/>
      <c r="M3" s="23" t="s">
        <v>541</v>
      </c>
    </row>
    <row r="4" spans="1:13" x14ac:dyDescent="0.25">
      <c r="A4" s="19" t="s">
        <v>701</v>
      </c>
      <c r="B4" s="20" t="s">
        <v>1614</v>
      </c>
      <c r="C4" s="21">
        <v>1</v>
      </c>
      <c r="D4" s="22">
        <v>1</v>
      </c>
      <c r="E4" s="23" t="s">
        <v>595</v>
      </c>
      <c r="F4" s="22">
        <v>8</v>
      </c>
      <c r="G4" s="23" t="s">
        <v>26</v>
      </c>
      <c r="H4" s="23" t="s">
        <v>41</v>
      </c>
      <c r="I4" s="22">
        <v>4</v>
      </c>
      <c r="J4" s="22"/>
      <c r="K4" s="22"/>
      <c r="L4" s="22"/>
      <c r="M4" s="23" t="s">
        <v>596</v>
      </c>
    </row>
    <row r="5" spans="1:13" x14ac:dyDescent="0.25">
      <c r="A5" s="19" t="s">
        <v>701</v>
      </c>
      <c r="B5" s="20" t="s">
        <v>1615</v>
      </c>
      <c r="C5" s="21">
        <v>3</v>
      </c>
      <c r="D5" s="22">
        <v>1</v>
      </c>
      <c r="E5" s="23" t="s">
        <v>78</v>
      </c>
      <c r="F5" s="22">
        <v>3</v>
      </c>
      <c r="G5" s="23" t="s">
        <v>21</v>
      </c>
      <c r="H5" s="23" t="s">
        <v>24</v>
      </c>
      <c r="I5" s="22">
        <v>3</v>
      </c>
      <c r="J5" s="22"/>
      <c r="K5" s="22"/>
      <c r="L5" s="22"/>
      <c r="M5" s="23"/>
    </row>
    <row r="6" spans="1:13" ht="30" x14ac:dyDescent="0.25">
      <c r="A6" s="19" t="s">
        <v>701</v>
      </c>
      <c r="B6" s="20" t="s">
        <v>1616</v>
      </c>
      <c r="C6" s="21">
        <v>3</v>
      </c>
      <c r="D6" s="22">
        <v>1</v>
      </c>
      <c r="E6" s="23" t="s">
        <v>38</v>
      </c>
      <c r="F6" s="22">
        <v>4</v>
      </c>
      <c r="G6" s="23" t="s">
        <v>21</v>
      </c>
      <c r="H6" s="23" t="s">
        <v>23</v>
      </c>
      <c r="I6" s="22">
        <v>3</v>
      </c>
      <c r="J6" s="22"/>
      <c r="K6" s="22"/>
      <c r="L6" s="22"/>
      <c r="M6" s="23" t="s">
        <v>597</v>
      </c>
    </row>
    <row r="7" spans="1:13" x14ac:dyDescent="0.25">
      <c r="A7" s="19" t="s">
        <v>701</v>
      </c>
      <c r="B7" s="20" t="s">
        <v>1617</v>
      </c>
      <c r="C7" s="21">
        <v>2</v>
      </c>
      <c r="D7" s="22">
        <v>1</v>
      </c>
      <c r="E7" s="23" t="s">
        <v>74</v>
      </c>
      <c r="F7" s="22">
        <v>0</v>
      </c>
      <c r="G7" s="23" t="s">
        <v>32</v>
      </c>
      <c r="H7" s="23" t="s">
        <v>30</v>
      </c>
      <c r="I7" s="22"/>
      <c r="J7" s="22"/>
      <c r="K7" s="22"/>
      <c r="L7" s="22">
        <v>1</v>
      </c>
      <c r="M7" s="23"/>
    </row>
    <row r="8" spans="1:13" x14ac:dyDescent="0.25">
      <c r="A8" s="19" t="s">
        <v>701</v>
      </c>
      <c r="B8" s="20" t="s">
        <v>1618</v>
      </c>
      <c r="C8" s="21">
        <v>2</v>
      </c>
      <c r="D8" s="22">
        <v>1</v>
      </c>
      <c r="E8" s="23" t="s">
        <v>75</v>
      </c>
      <c r="F8" s="22">
        <v>4</v>
      </c>
      <c r="G8" s="23" t="s">
        <v>29</v>
      </c>
      <c r="H8" s="23" t="s">
        <v>30</v>
      </c>
      <c r="I8" s="22"/>
      <c r="J8" s="22"/>
      <c r="K8" s="22"/>
      <c r="L8" s="22"/>
      <c r="M8" s="24" t="s">
        <v>1624</v>
      </c>
    </row>
    <row r="9" spans="1:13" x14ac:dyDescent="0.25">
      <c r="A9" s="19" t="s">
        <v>701</v>
      </c>
      <c r="B9" s="20" t="s">
        <v>598</v>
      </c>
      <c r="C9" s="21">
        <v>2</v>
      </c>
      <c r="D9" s="22">
        <v>1</v>
      </c>
      <c r="E9" s="23" t="s">
        <v>73</v>
      </c>
      <c r="F9" s="22">
        <v>5</v>
      </c>
      <c r="G9" s="23" t="s">
        <v>32</v>
      </c>
      <c r="H9" s="23" t="s">
        <v>70</v>
      </c>
      <c r="I9" s="22"/>
      <c r="J9" s="22">
        <v>2</v>
      </c>
      <c r="K9" s="22"/>
      <c r="L9" s="22"/>
      <c r="M9" s="23" t="s">
        <v>169</v>
      </c>
    </row>
    <row r="10" spans="1:13" x14ac:dyDescent="0.25">
      <c r="A10" s="19" t="s">
        <v>701</v>
      </c>
      <c r="B10" s="20" t="s">
        <v>1619</v>
      </c>
      <c r="C10" s="21">
        <v>2</v>
      </c>
      <c r="D10" s="22">
        <v>1</v>
      </c>
      <c r="E10" s="23" t="s">
        <v>54</v>
      </c>
      <c r="F10" s="22">
        <v>7</v>
      </c>
      <c r="G10" s="23" t="s">
        <v>32</v>
      </c>
      <c r="H10" s="23" t="s">
        <v>9</v>
      </c>
      <c r="I10" s="22"/>
      <c r="J10" s="22"/>
      <c r="K10" s="22"/>
      <c r="L10" s="22"/>
      <c r="M10" s="23" t="s">
        <v>599</v>
      </c>
    </row>
    <row r="11" spans="1:13" x14ac:dyDescent="0.25">
      <c r="A11" s="19" t="s">
        <v>701</v>
      </c>
      <c r="B11" s="20" t="s">
        <v>1620</v>
      </c>
      <c r="C11" s="21">
        <v>2</v>
      </c>
      <c r="D11" s="22">
        <v>1</v>
      </c>
      <c r="E11" s="23" t="s">
        <v>64</v>
      </c>
      <c r="F11" s="22">
        <v>5</v>
      </c>
      <c r="G11" s="23" t="s">
        <v>32</v>
      </c>
      <c r="H11" s="23" t="s">
        <v>9</v>
      </c>
      <c r="I11" s="22"/>
      <c r="J11" s="22"/>
      <c r="K11" s="22"/>
      <c r="L11" s="22"/>
      <c r="M11" s="23" t="s">
        <v>1622</v>
      </c>
    </row>
    <row r="12" spans="1:13" x14ac:dyDescent="0.25">
      <c r="A12" s="19" t="s">
        <v>701</v>
      </c>
      <c r="B12" s="20" t="s">
        <v>1621</v>
      </c>
      <c r="C12" s="21">
        <v>2</v>
      </c>
      <c r="D12" s="22">
        <v>1</v>
      </c>
      <c r="E12" s="23" t="s">
        <v>45</v>
      </c>
      <c r="F12" s="22">
        <v>0</v>
      </c>
      <c r="G12" s="23" t="s">
        <v>32</v>
      </c>
      <c r="H12" s="23" t="s">
        <v>35</v>
      </c>
      <c r="I12" s="22"/>
      <c r="J12" s="22"/>
      <c r="K12" s="22"/>
      <c r="L12" s="22"/>
      <c r="M12" s="23" t="s">
        <v>1623</v>
      </c>
    </row>
    <row r="13" spans="1:13" x14ac:dyDescent="0.25">
      <c r="A13" s="19" t="s">
        <v>701</v>
      </c>
      <c r="B13" s="20" t="s">
        <v>1626</v>
      </c>
      <c r="C13" s="21">
        <v>2</v>
      </c>
      <c r="D13" s="22">
        <v>2</v>
      </c>
      <c r="E13" s="23" t="s">
        <v>58</v>
      </c>
      <c r="F13" s="22">
        <v>1</v>
      </c>
      <c r="G13" s="23" t="s">
        <v>26</v>
      </c>
      <c r="H13" s="23" t="s">
        <v>41</v>
      </c>
      <c r="I13" s="22">
        <v>4</v>
      </c>
      <c r="J13" s="22"/>
      <c r="K13" s="22"/>
      <c r="L13" s="22"/>
      <c r="M13" s="23" t="s">
        <v>600</v>
      </c>
    </row>
    <row r="14" spans="1:13" x14ac:dyDescent="0.25">
      <c r="A14" s="19" t="s">
        <v>701</v>
      </c>
      <c r="B14" s="20" t="s">
        <v>1627</v>
      </c>
      <c r="C14" s="21">
        <v>2</v>
      </c>
      <c r="D14" s="22">
        <v>2</v>
      </c>
      <c r="E14" s="23" t="s">
        <v>601</v>
      </c>
      <c r="F14" s="22">
        <v>4</v>
      </c>
      <c r="G14" s="23" t="s">
        <v>21</v>
      </c>
      <c r="H14" s="23" t="s">
        <v>24</v>
      </c>
      <c r="I14" s="22">
        <v>3</v>
      </c>
      <c r="J14" s="22"/>
      <c r="K14" s="22"/>
      <c r="L14" s="22"/>
      <c r="M14" s="23" t="s">
        <v>602</v>
      </c>
    </row>
    <row r="15" spans="1:13" x14ac:dyDescent="0.25">
      <c r="A15" s="19" t="s">
        <v>701</v>
      </c>
      <c r="B15" s="20" t="s">
        <v>1628</v>
      </c>
      <c r="C15" s="21">
        <v>2</v>
      </c>
      <c r="D15" s="22">
        <v>2</v>
      </c>
      <c r="E15" s="23" t="s">
        <v>66</v>
      </c>
      <c r="F15" s="22">
        <v>3</v>
      </c>
      <c r="G15" s="23" t="s">
        <v>21</v>
      </c>
      <c r="H15" s="23" t="s">
        <v>23</v>
      </c>
      <c r="I15" s="22">
        <v>3</v>
      </c>
      <c r="J15" s="22"/>
      <c r="K15" s="22"/>
      <c r="L15" s="22"/>
      <c r="M15" s="23" t="s">
        <v>603</v>
      </c>
    </row>
    <row r="16" spans="1:13" x14ac:dyDescent="0.25">
      <c r="A16" s="19" t="s">
        <v>701</v>
      </c>
      <c r="B16" s="20" t="s">
        <v>1629</v>
      </c>
      <c r="C16" s="21">
        <v>3</v>
      </c>
      <c r="D16" s="22">
        <v>2</v>
      </c>
      <c r="E16" s="23" t="s">
        <v>63</v>
      </c>
      <c r="F16" s="22">
        <v>2</v>
      </c>
      <c r="G16" s="23" t="s">
        <v>26</v>
      </c>
      <c r="H16" s="23" t="s">
        <v>62</v>
      </c>
      <c r="I16" s="22">
        <v>4</v>
      </c>
      <c r="J16" s="22"/>
      <c r="K16" s="22"/>
      <c r="L16" s="22"/>
      <c r="M16" s="23" t="s">
        <v>541</v>
      </c>
    </row>
    <row r="17" spans="1:13" ht="30" x14ac:dyDescent="0.25">
      <c r="A17" s="19" t="s">
        <v>701</v>
      </c>
      <c r="B17" s="20" t="s">
        <v>1630</v>
      </c>
      <c r="C17" s="21">
        <v>2</v>
      </c>
      <c r="D17" s="22">
        <v>2</v>
      </c>
      <c r="E17" s="23" t="s">
        <v>50</v>
      </c>
      <c r="F17" s="22">
        <v>4</v>
      </c>
      <c r="G17" s="23" t="s">
        <v>21</v>
      </c>
      <c r="H17" s="23" t="s">
        <v>23</v>
      </c>
      <c r="I17" s="22">
        <v>3</v>
      </c>
      <c r="J17" s="22"/>
      <c r="K17" s="22"/>
      <c r="L17" s="22"/>
      <c r="M17" s="23" t="s">
        <v>190</v>
      </c>
    </row>
    <row r="18" spans="1:13" x14ac:dyDescent="0.25">
      <c r="A18" s="19" t="s">
        <v>701</v>
      </c>
      <c r="B18" s="20" t="s">
        <v>1631</v>
      </c>
      <c r="C18" s="21">
        <v>2</v>
      </c>
      <c r="D18" s="22">
        <v>2</v>
      </c>
      <c r="E18" s="23" t="s">
        <v>604</v>
      </c>
      <c r="F18" s="22">
        <v>6</v>
      </c>
      <c r="G18" s="23" t="s">
        <v>32</v>
      </c>
      <c r="H18" s="23" t="s">
        <v>70</v>
      </c>
      <c r="I18" s="22"/>
      <c r="J18" s="22">
        <v>2</v>
      </c>
      <c r="K18" s="22">
        <v>1</v>
      </c>
      <c r="L18" s="22"/>
      <c r="M18" s="23" t="s">
        <v>169</v>
      </c>
    </row>
    <row r="19" spans="1:13" ht="30" x14ac:dyDescent="0.25">
      <c r="A19" s="19" t="s">
        <v>701</v>
      </c>
      <c r="B19" s="20" t="s">
        <v>1632</v>
      </c>
      <c r="C19" s="21">
        <v>1</v>
      </c>
      <c r="D19" s="22">
        <v>2</v>
      </c>
      <c r="E19" s="23" t="s">
        <v>605</v>
      </c>
      <c r="F19" s="22">
        <v>1</v>
      </c>
      <c r="G19" s="23" t="s">
        <v>32</v>
      </c>
      <c r="H19" s="23" t="s">
        <v>48</v>
      </c>
      <c r="I19" s="22"/>
      <c r="J19" s="22">
        <v>1</v>
      </c>
      <c r="K19" s="22"/>
      <c r="L19" s="22"/>
      <c r="M19" s="23" t="s">
        <v>1679</v>
      </c>
    </row>
    <row r="20" spans="1:13" ht="30" x14ac:dyDescent="0.25">
      <c r="A20" s="19" t="s">
        <v>701</v>
      </c>
      <c r="B20" s="20" t="s">
        <v>1633</v>
      </c>
      <c r="C20" s="21">
        <v>1</v>
      </c>
      <c r="D20" s="22">
        <v>2</v>
      </c>
      <c r="E20" s="23" t="s">
        <v>49</v>
      </c>
      <c r="F20" s="22">
        <v>8</v>
      </c>
      <c r="G20" s="23" t="s">
        <v>32</v>
      </c>
      <c r="H20" s="23" t="s">
        <v>30</v>
      </c>
      <c r="I20" s="22"/>
      <c r="J20" s="22"/>
      <c r="K20" s="22"/>
      <c r="L20" s="22"/>
      <c r="M20" s="23" t="s">
        <v>606</v>
      </c>
    </row>
    <row r="21" spans="1:13" ht="30" x14ac:dyDescent="0.25">
      <c r="A21" s="19" t="s">
        <v>701</v>
      </c>
      <c r="B21" s="20" t="s">
        <v>1634</v>
      </c>
      <c r="C21" s="21">
        <v>2</v>
      </c>
      <c r="D21" s="22">
        <v>2</v>
      </c>
      <c r="E21" s="23" t="s">
        <v>607</v>
      </c>
      <c r="F21" s="22">
        <v>0</v>
      </c>
      <c r="G21" s="23" t="s">
        <v>32</v>
      </c>
      <c r="H21" s="23" t="s">
        <v>30</v>
      </c>
      <c r="I21" s="22"/>
      <c r="J21" s="22"/>
      <c r="K21" s="22">
        <v>2</v>
      </c>
      <c r="L21" s="22">
        <v>1</v>
      </c>
      <c r="M21" s="23"/>
    </row>
    <row r="22" spans="1:13" x14ac:dyDescent="0.25">
      <c r="A22" s="19" t="s">
        <v>523</v>
      </c>
      <c r="B22" s="20" t="s">
        <v>528</v>
      </c>
      <c r="C22" s="21">
        <v>2</v>
      </c>
      <c r="D22" s="22">
        <v>1</v>
      </c>
      <c r="E22" s="23" t="s">
        <v>529</v>
      </c>
      <c r="F22" s="22">
        <v>3</v>
      </c>
      <c r="G22" s="23" t="s">
        <v>29</v>
      </c>
      <c r="H22" s="23" t="s">
        <v>35</v>
      </c>
      <c r="I22" s="22"/>
      <c r="J22" s="22"/>
      <c r="K22" s="22"/>
      <c r="L22" s="22"/>
      <c r="M22" s="24" t="s">
        <v>1693</v>
      </c>
    </row>
    <row r="23" spans="1:13" ht="30" x14ac:dyDescent="0.25">
      <c r="A23" s="19" t="s">
        <v>701</v>
      </c>
      <c r="B23" s="23" t="s">
        <v>610</v>
      </c>
      <c r="C23" s="21">
        <v>1</v>
      </c>
      <c r="D23" s="22">
        <v>2</v>
      </c>
      <c r="E23" s="23" t="s">
        <v>57</v>
      </c>
      <c r="F23" s="22">
        <v>1</v>
      </c>
      <c r="G23" s="23" t="s">
        <v>32</v>
      </c>
      <c r="H23" s="23" t="s">
        <v>35</v>
      </c>
      <c r="I23" s="22"/>
      <c r="J23" s="22"/>
      <c r="K23" s="22"/>
      <c r="L23" s="22"/>
      <c r="M23" s="23" t="s">
        <v>611</v>
      </c>
    </row>
    <row r="24" spans="1:13" x14ac:dyDescent="0.25">
      <c r="A24" s="19" t="s">
        <v>701</v>
      </c>
      <c r="B24" s="20" t="s">
        <v>1636</v>
      </c>
      <c r="C24" s="21">
        <v>1</v>
      </c>
      <c r="D24" s="22">
        <v>2</v>
      </c>
      <c r="E24" s="23" t="s">
        <v>612</v>
      </c>
      <c r="F24" s="22">
        <v>6</v>
      </c>
      <c r="G24" s="23" t="s">
        <v>32</v>
      </c>
      <c r="H24" s="23" t="s">
        <v>35</v>
      </c>
      <c r="I24" s="22"/>
      <c r="J24" s="22"/>
      <c r="K24" s="22"/>
      <c r="L24" s="22"/>
      <c r="M24" s="23" t="s">
        <v>613</v>
      </c>
    </row>
    <row r="25" spans="1:13" x14ac:dyDescent="0.25">
      <c r="A25" s="19" t="s">
        <v>521</v>
      </c>
      <c r="B25" s="25" t="s">
        <v>338</v>
      </c>
      <c r="C25" s="22">
        <v>1</v>
      </c>
      <c r="D25" s="22">
        <v>1</v>
      </c>
      <c r="E25" s="26" t="s">
        <v>339</v>
      </c>
      <c r="F25" s="22">
        <v>0</v>
      </c>
      <c r="G25" s="26" t="s">
        <v>29</v>
      </c>
      <c r="H25" s="26" t="s">
        <v>35</v>
      </c>
      <c r="I25" s="22"/>
      <c r="J25" s="22"/>
      <c r="K25" s="22"/>
      <c r="L25" s="22"/>
      <c r="M25" s="26" t="s">
        <v>340</v>
      </c>
    </row>
    <row r="26" spans="1:13" x14ac:dyDescent="0.25">
      <c r="A26" s="19" t="s">
        <v>701</v>
      </c>
      <c r="B26" s="23" t="s">
        <v>615</v>
      </c>
      <c r="C26" s="21">
        <v>1</v>
      </c>
      <c r="D26" s="22">
        <v>2</v>
      </c>
      <c r="E26" s="23" t="s">
        <v>616</v>
      </c>
      <c r="F26" s="22">
        <v>9</v>
      </c>
      <c r="G26" s="23" t="s">
        <v>26</v>
      </c>
      <c r="H26" s="23" t="s">
        <v>41</v>
      </c>
      <c r="I26" s="22">
        <v>4</v>
      </c>
      <c r="J26" s="22"/>
      <c r="K26" s="22"/>
      <c r="L26" s="22"/>
      <c r="M26" s="23" t="s">
        <v>617</v>
      </c>
    </row>
    <row r="27" spans="1:13" x14ac:dyDescent="0.25">
      <c r="A27" s="19" t="s">
        <v>701</v>
      </c>
      <c r="B27" s="23" t="s">
        <v>618</v>
      </c>
      <c r="C27" s="21">
        <v>2</v>
      </c>
      <c r="D27" s="22">
        <v>3</v>
      </c>
      <c r="E27" s="23" t="s">
        <v>25</v>
      </c>
      <c r="F27" s="22">
        <v>3</v>
      </c>
      <c r="G27" s="23" t="s">
        <v>26</v>
      </c>
      <c r="H27" s="23" t="s">
        <v>22</v>
      </c>
      <c r="I27" s="22">
        <v>4</v>
      </c>
      <c r="J27" s="22">
        <v>2</v>
      </c>
      <c r="K27" s="22"/>
      <c r="L27" s="22">
        <v>2</v>
      </c>
      <c r="M27" s="23"/>
    </row>
    <row r="28" spans="1:13" x14ac:dyDescent="0.25">
      <c r="A28" s="19" t="s">
        <v>701</v>
      </c>
      <c r="B28" s="20" t="s">
        <v>1638</v>
      </c>
      <c r="C28" s="21">
        <v>2</v>
      </c>
      <c r="D28" s="22">
        <v>3</v>
      </c>
      <c r="E28" s="23" t="s">
        <v>42</v>
      </c>
      <c r="F28" s="22">
        <v>3</v>
      </c>
      <c r="G28" s="23" t="s">
        <v>21</v>
      </c>
      <c r="H28" s="23" t="s">
        <v>24</v>
      </c>
      <c r="I28" s="22">
        <v>4</v>
      </c>
      <c r="J28" s="22"/>
      <c r="K28" s="22"/>
      <c r="L28" s="22"/>
      <c r="M28" s="23"/>
    </row>
    <row r="29" spans="1:13" ht="30" x14ac:dyDescent="0.25">
      <c r="A29" s="19" t="s">
        <v>701</v>
      </c>
      <c r="B29" s="20" t="s">
        <v>1639</v>
      </c>
      <c r="C29" s="21">
        <v>2</v>
      </c>
      <c r="D29" s="22">
        <v>3</v>
      </c>
      <c r="E29" s="23" t="s">
        <v>40</v>
      </c>
      <c r="F29" s="22">
        <v>1</v>
      </c>
      <c r="G29" s="23" t="s">
        <v>26</v>
      </c>
      <c r="H29" s="23" t="s">
        <v>41</v>
      </c>
      <c r="I29" s="22">
        <v>4</v>
      </c>
      <c r="J29" s="22"/>
      <c r="K29" s="22"/>
      <c r="L29" s="22"/>
      <c r="M29" s="23" t="s">
        <v>619</v>
      </c>
    </row>
    <row r="30" spans="1:13" ht="30" x14ac:dyDescent="0.25">
      <c r="A30" s="19" t="s">
        <v>701</v>
      </c>
      <c r="B30" s="20" t="s">
        <v>1640</v>
      </c>
      <c r="C30" s="21">
        <v>1</v>
      </c>
      <c r="D30" s="22">
        <v>3</v>
      </c>
      <c r="E30" s="23" t="s">
        <v>620</v>
      </c>
      <c r="F30" s="22">
        <v>9</v>
      </c>
      <c r="G30" s="23" t="s">
        <v>21</v>
      </c>
      <c r="H30" s="23" t="s">
        <v>149</v>
      </c>
      <c r="I30" s="22">
        <v>3</v>
      </c>
      <c r="J30" s="22"/>
      <c r="K30" s="22"/>
      <c r="L30" s="22"/>
      <c r="M30" s="23" t="s">
        <v>188</v>
      </c>
    </row>
    <row r="31" spans="1:13" x14ac:dyDescent="0.25">
      <c r="A31" s="19" t="s">
        <v>701</v>
      </c>
      <c r="B31" s="20" t="s">
        <v>1641</v>
      </c>
      <c r="C31" s="21">
        <v>2</v>
      </c>
      <c r="D31" s="22">
        <v>3</v>
      </c>
      <c r="E31" s="23" t="s">
        <v>621</v>
      </c>
      <c r="F31" s="22">
        <v>4</v>
      </c>
      <c r="G31" s="23" t="s">
        <v>21</v>
      </c>
      <c r="H31" s="23" t="s">
        <v>23</v>
      </c>
      <c r="I31" s="22">
        <v>4</v>
      </c>
      <c r="J31" s="22"/>
      <c r="K31" s="22"/>
      <c r="L31" s="22"/>
      <c r="M31" s="23" t="s">
        <v>1691</v>
      </c>
    </row>
    <row r="32" spans="1:13" ht="30" x14ac:dyDescent="0.25">
      <c r="A32" s="19" t="s">
        <v>701</v>
      </c>
      <c r="B32" s="20" t="s">
        <v>1642</v>
      </c>
      <c r="C32" s="21">
        <v>1</v>
      </c>
      <c r="D32" s="22">
        <v>3</v>
      </c>
      <c r="E32" s="23" t="s">
        <v>53</v>
      </c>
      <c r="F32" s="22">
        <v>6</v>
      </c>
      <c r="G32" s="23" t="s">
        <v>26</v>
      </c>
      <c r="H32" s="23" t="s">
        <v>23</v>
      </c>
      <c r="I32" s="22">
        <v>3</v>
      </c>
      <c r="J32" s="22"/>
      <c r="K32" s="22"/>
      <c r="L32" s="22"/>
      <c r="M32" s="23" t="s">
        <v>622</v>
      </c>
    </row>
    <row r="33" spans="1:13" ht="30" x14ac:dyDescent="0.25">
      <c r="A33" s="19" t="s">
        <v>701</v>
      </c>
      <c r="B33" s="20" t="s">
        <v>1643</v>
      </c>
      <c r="C33" s="21">
        <v>2</v>
      </c>
      <c r="D33" s="22">
        <v>3</v>
      </c>
      <c r="E33" s="23" t="s">
        <v>623</v>
      </c>
      <c r="F33" s="22">
        <v>4</v>
      </c>
      <c r="G33" s="23" t="s">
        <v>21</v>
      </c>
      <c r="H33" s="23" t="s">
        <v>23</v>
      </c>
      <c r="I33" s="22">
        <v>4</v>
      </c>
      <c r="J33" s="22"/>
      <c r="K33" s="22"/>
      <c r="L33" s="22"/>
      <c r="M33" s="23" t="s">
        <v>597</v>
      </c>
    </row>
    <row r="34" spans="1:13" x14ac:dyDescent="0.25">
      <c r="A34" s="19" t="s">
        <v>701</v>
      </c>
      <c r="B34" s="20" t="s">
        <v>1644</v>
      </c>
      <c r="C34" s="21">
        <v>1</v>
      </c>
      <c r="D34" s="22">
        <v>3</v>
      </c>
      <c r="E34" s="23" t="s">
        <v>624</v>
      </c>
      <c r="F34" s="22">
        <v>2</v>
      </c>
      <c r="G34" s="23" t="s">
        <v>32</v>
      </c>
      <c r="H34" s="23" t="s">
        <v>35</v>
      </c>
      <c r="I34" s="22"/>
      <c r="J34" s="22"/>
      <c r="K34" s="22"/>
      <c r="L34" s="22"/>
      <c r="M34" s="23" t="s">
        <v>1680</v>
      </c>
    </row>
    <row r="35" spans="1:13" x14ac:dyDescent="0.25">
      <c r="A35" s="19" t="s">
        <v>701</v>
      </c>
      <c r="B35" s="20" t="s">
        <v>1645</v>
      </c>
      <c r="C35" s="21">
        <v>1</v>
      </c>
      <c r="D35" s="22">
        <v>3</v>
      </c>
      <c r="E35" s="23" t="s">
        <v>625</v>
      </c>
      <c r="F35" s="22">
        <v>4</v>
      </c>
      <c r="G35" s="23" t="s">
        <v>32</v>
      </c>
      <c r="H35" s="23" t="s">
        <v>9</v>
      </c>
      <c r="I35" s="22"/>
      <c r="J35" s="22"/>
      <c r="K35" s="22"/>
      <c r="L35" s="22"/>
      <c r="M35" s="23" t="s">
        <v>626</v>
      </c>
    </row>
    <row r="36" spans="1:13" ht="30" x14ac:dyDescent="0.25">
      <c r="A36" s="19" t="s">
        <v>701</v>
      </c>
      <c r="B36" s="20" t="s">
        <v>1646</v>
      </c>
      <c r="C36" s="21">
        <v>1</v>
      </c>
      <c r="D36" s="22">
        <v>3</v>
      </c>
      <c r="E36" s="23" t="s">
        <v>31</v>
      </c>
      <c r="F36" s="22">
        <v>0</v>
      </c>
      <c r="G36" s="23" t="s">
        <v>32</v>
      </c>
      <c r="H36" s="23" t="s">
        <v>30</v>
      </c>
      <c r="I36" s="22"/>
      <c r="J36" s="22"/>
      <c r="K36" s="22">
        <v>3</v>
      </c>
      <c r="L36" s="22"/>
      <c r="M36" s="23"/>
    </row>
    <row r="37" spans="1:13" x14ac:dyDescent="0.25">
      <c r="A37" s="19" t="s">
        <v>701</v>
      </c>
      <c r="B37" s="20" t="s">
        <v>1647</v>
      </c>
      <c r="C37" s="21">
        <v>1</v>
      </c>
      <c r="D37" s="22">
        <v>3</v>
      </c>
      <c r="E37" s="23" t="s">
        <v>627</v>
      </c>
      <c r="F37" s="22">
        <v>8</v>
      </c>
      <c r="G37" s="23" t="s">
        <v>32</v>
      </c>
      <c r="H37" s="23" t="s">
        <v>30</v>
      </c>
      <c r="I37" s="22"/>
      <c r="J37" s="22"/>
      <c r="K37" s="22"/>
      <c r="L37" s="22"/>
      <c r="M37" s="23" t="s">
        <v>628</v>
      </c>
    </row>
    <row r="38" spans="1:13" x14ac:dyDescent="0.25">
      <c r="A38" s="19" t="s">
        <v>701</v>
      </c>
      <c r="B38" s="20" t="s">
        <v>1648</v>
      </c>
      <c r="C38" s="21">
        <v>2</v>
      </c>
      <c r="D38" s="22">
        <v>3</v>
      </c>
      <c r="E38" s="23" t="s">
        <v>629</v>
      </c>
      <c r="F38" s="22">
        <v>6</v>
      </c>
      <c r="G38" s="23" t="s">
        <v>32</v>
      </c>
      <c r="H38" s="23" t="s">
        <v>70</v>
      </c>
      <c r="I38" s="22"/>
      <c r="J38" s="22">
        <v>4</v>
      </c>
      <c r="K38" s="22">
        <v>1</v>
      </c>
      <c r="L38" s="22"/>
      <c r="M38" s="23" t="s">
        <v>169</v>
      </c>
    </row>
    <row r="39" spans="1:13" x14ac:dyDescent="0.25">
      <c r="A39" s="19" t="s">
        <v>701</v>
      </c>
      <c r="B39" s="20" t="s">
        <v>1649</v>
      </c>
      <c r="C39" s="21">
        <v>2</v>
      </c>
      <c r="D39" s="22">
        <v>3</v>
      </c>
      <c r="E39" s="23" t="s">
        <v>44</v>
      </c>
      <c r="F39" s="22">
        <v>0</v>
      </c>
      <c r="G39" s="23" t="s">
        <v>32</v>
      </c>
      <c r="H39" s="23" t="s">
        <v>30</v>
      </c>
      <c r="I39" s="22"/>
      <c r="J39" s="22"/>
      <c r="K39" s="22"/>
      <c r="L39" s="22">
        <v>3</v>
      </c>
      <c r="M39" s="23"/>
    </row>
    <row r="40" spans="1:13" x14ac:dyDescent="0.25">
      <c r="A40" s="19" t="s">
        <v>701</v>
      </c>
      <c r="B40" s="20" t="s">
        <v>1650</v>
      </c>
      <c r="C40" s="21">
        <v>2</v>
      </c>
      <c r="D40" s="22">
        <v>3</v>
      </c>
      <c r="E40" s="23" t="s">
        <v>630</v>
      </c>
      <c r="F40" s="22">
        <v>4</v>
      </c>
      <c r="G40" s="23" t="s">
        <v>32</v>
      </c>
      <c r="H40" s="23" t="s">
        <v>9</v>
      </c>
      <c r="I40" s="22"/>
      <c r="J40" s="22"/>
      <c r="K40" s="22"/>
      <c r="L40" s="22"/>
      <c r="M40" s="23" t="s">
        <v>631</v>
      </c>
    </row>
    <row r="41" spans="1:13" x14ac:dyDescent="0.25">
      <c r="A41" s="19" t="s">
        <v>292</v>
      </c>
      <c r="B41" s="25" t="s">
        <v>264</v>
      </c>
      <c r="C41" s="22">
        <v>2</v>
      </c>
      <c r="D41" s="22">
        <v>1</v>
      </c>
      <c r="E41" s="26" t="s">
        <v>265</v>
      </c>
      <c r="F41" s="22">
        <v>0</v>
      </c>
      <c r="G41" s="26" t="s">
        <v>266</v>
      </c>
      <c r="H41" s="26" t="s">
        <v>35</v>
      </c>
      <c r="I41" s="22"/>
      <c r="J41" s="22"/>
      <c r="K41" s="22">
        <v>2</v>
      </c>
      <c r="L41" s="22"/>
      <c r="M41" s="26"/>
    </row>
    <row r="42" spans="1:13" x14ac:dyDescent="0.25">
      <c r="A42" s="19" t="s">
        <v>701</v>
      </c>
      <c r="B42" s="23" t="s">
        <v>633</v>
      </c>
      <c r="C42" s="21">
        <v>2</v>
      </c>
      <c r="D42" s="22">
        <v>4</v>
      </c>
      <c r="E42" s="23" t="s">
        <v>33</v>
      </c>
      <c r="F42" s="22">
        <v>2</v>
      </c>
      <c r="G42" s="23" t="s">
        <v>26</v>
      </c>
      <c r="H42" s="23" t="s">
        <v>22</v>
      </c>
      <c r="I42" s="22">
        <v>4</v>
      </c>
      <c r="J42" s="22">
        <v>1</v>
      </c>
      <c r="K42" s="22"/>
      <c r="L42" s="22">
        <v>1</v>
      </c>
      <c r="M42" s="24" t="s">
        <v>1683</v>
      </c>
    </row>
    <row r="43" spans="1:13" x14ac:dyDescent="0.25">
      <c r="A43" s="19" t="s">
        <v>701</v>
      </c>
      <c r="B43" s="23" t="s">
        <v>634</v>
      </c>
      <c r="C43" s="21">
        <v>2</v>
      </c>
      <c r="D43" s="22">
        <v>4</v>
      </c>
      <c r="E43" s="23" t="s">
        <v>27</v>
      </c>
      <c r="F43" s="22">
        <v>4</v>
      </c>
      <c r="G43" s="23" t="s">
        <v>21</v>
      </c>
      <c r="H43" s="23" t="s">
        <v>24</v>
      </c>
      <c r="I43" s="22">
        <v>4</v>
      </c>
      <c r="J43" s="22"/>
      <c r="K43" s="22"/>
      <c r="L43" s="22"/>
      <c r="M43" s="23" t="s">
        <v>635</v>
      </c>
    </row>
    <row r="44" spans="1:13" x14ac:dyDescent="0.25">
      <c r="A44" s="19" t="s">
        <v>701</v>
      </c>
      <c r="B44" s="20" t="s">
        <v>1652</v>
      </c>
      <c r="C44" s="21">
        <v>2</v>
      </c>
      <c r="D44" s="22">
        <v>4</v>
      </c>
      <c r="E44" s="23" t="s">
        <v>636</v>
      </c>
      <c r="F44" s="22">
        <v>6</v>
      </c>
      <c r="G44" s="23" t="s">
        <v>21</v>
      </c>
      <c r="H44" s="23" t="s">
        <v>23</v>
      </c>
      <c r="I44" s="22">
        <v>4</v>
      </c>
      <c r="J44" s="22"/>
      <c r="K44" s="22"/>
      <c r="L44" s="22"/>
      <c r="M44" s="23" t="s">
        <v>214</v>
      </c>
    </row>
    <row r="45" spans="1:13" x14ac:dyDescent="0.25">
      <c r="A45" s="19" t="s">
        <v>701</v>
      </c>
      <c r="B45" s="20" t="s">
        <v>1653</v>
      </c>
      <c r="C45" s="21">
        <v>2</v>
      </c>
      <c r="D45" s="22">
        <v>4</v>
      </c>
      <c r="E45" s="23" t="s">
        <v>637</v>
      </c>
      <c r="F45" s="22">
        <v>4</v>
      </c>
      <c r="G45" s="23" t="s">
        <v>26</v>
      </c>
      <c r="H45" s="23" t="s">
        <v>62</v>
      </c>
      <c r="I45" s="22">
        <v>5</v>
      </c>
      <c r="J45" s="22"/>
      <c r="K45" s="22"/>
      <c r="L45" s="22"/>
      <c r="M45" s="23" t="s">
        <v>638</v>
      </c>
    </row>
    <row r="46" spans="1:13" ht="30" x14ac:dyDescent="0.25">
      <c r="A46" s="19" t="s">
        <v>701</v>
      </c>
      <c r="B46" s="20" t="s">
        <v>1654</v>
      </c>
      <c r="C46" s="21">
        <v>2</v>
      </c>
      <c r="D46" s="22">
        <v>4</v>
      </c>
      <c r="E46" s="23" t="s">
        <v>639</v>
      </c>
      <c r="F46" s="22">
        <v>4</v>
      </c>
      <c r="G46" s="23" t="s">
        <v>21</v>
      </c>
      <c r="H46" s="23" t="s">
        <v>23</v>
      </c>
      <c r="I46" s="22">
        <v>5</v>
      </c>
      <c r="J46" s="22"/>
      <c r="K46" s="22"/>
      <c r="L46" s="22"/>
      <c r="M46" s="23" t="s">
        <v>190</v>
      </c>
    </row>
    <row r="47" spans="1:13" ht="30" x14ac:dyDescent="0.25">
      <c r="A47" s="19" t="s">
        <v>701</v>
      </c>
      <c r="B47" s="20" t="s">
        <v>1655</v>
      </c>
      <c r="C47" s="21">
        <v>1</v>
      </c>
      <c r="D47" s="22">
        <v>4</v>
      </c>
      <c r="E47" s="23" t="s">
        <v>640</v>
      </c>
      <c r="F47" s="22">
        <v>8</v>
      </c>
      <c r="G47" s="23" t="s">
        <v>21</v>
      </c>
      <c r="H47" s="23" t="s">
        <v>23</v>
      </c>
      <c r="I47" s="22">
        <v>5</v>
      </c>
      <c r="J47" s="22"/>
      <c r="K47" s="22"/>
      <c r="L47" s="22"/>
      <c r="M47" s="23" t="s">
        <v>641</v>
      </c>
    </row>
    <row r="48" spans="1:13" x14ac:dyDescent="0.25">
      <c r="A48" s="19" t="s">
        <v>701</v>
      </c>
      <c r="B48" s="20" t="s">
        <v>1656</v>
      </c>
      <c r="C48" s="21">
        <v>2</v>
      </c>
      <c r="D48" s="22">
        <v>4</v>
      </c>
      <c r="E48" s="23" t="s">
        <v>642</v>
      </c>
      <c r="F48" s="22">
        <v>6</v>
      </c>
      <c r="G48" s="23" t="s">
        <v>32</v>
      </c>
      <c r="H48" s="23" t="s">
        <v>70</v>
      </c>
      <c r="I48" s="22"/>
      <c r="J48" s="22">
        <v>4</v>
      </c>
      <c r="K48" s="22">
        <v>2</v>
      </c>
      <c r="L48" s="22"/>
      <c r="M48" s="23" t="s">
        <v>169</v>
      </c>
    </row>
    <row r="49" spans="1:13" x14ac:dyDescent="0.25">
      <c r="A49" s="19" t="s">
        <v>521</v>
      </c>
      <c r="B49" s="25" t="s">
        <v>335</v>
      </c>
      <c r="C49" s="22">
        <v>2</v>
      </c>
      <c r="D49" s="22">
        <v>1</v>
      </c>
      <c r="E49" s="26" t="s">
        <v>336</v>
      </c>
      <c r="F49" s="22">
        <v>4</v>
      </c>
      <c r="G49" s="26" t="s">
        <v>29</v>
      </c>
      <c r="H49" s="26" t="s">
        <v>30</v>
      </c>
      <c r="I49" s="22"/>
      <c r="J49" s="22"/>
      <c r="K49" s="22"/>
      <c r="L49" s="22"/>
      <c r="M49" s="26" t="s">
        <v>337</v>
      </c>
    </row>
    <row r="50" spans="1:13" x14ac:dyDescent="0.25">
      <c r="A50" s="19" t="s">
        <v>701</v>
      </c>
      <c r="B50" s="20" t="s">
        <v>643</v>
      </c>
      <c r="C50" s="21">
        <v>2</v>
      </c>
      <c r="D50" s="22">
        <v>4</v>
      </c>
      <c r="E50" s="23" t="s">
        <v>644</v>
      </c>
      <c r="F50" s="22">
        <v>4</v>
      </c>
      <c r="G50" s="23" t="s">
        <v>21</v>
      </c>
      <c r="H50" s="23" t="s">
        <v>23</v>
      </c>
      <c r="I50" s="22">
        <v>5</v>
      </c>
      <c r="J50" s="22"/>
      <c r="K50" s="22"/>
      <c r="L50" s="22"/>
      <c r="M50" s="23" t="s">
        <v>645</v>
      </c>
    </row>
    <row r="51" spans="1:13" x14ac:dyDescent="0.25">
      <c r="A51" s="19" t="s">
        <v>701</v>
      </c>
      <c r="B51" s="20" t="s">
        <v>1658</v>
      </c>
      <c r="C51" s="21">
        <v>2</v>
      </c>
      <c r="D51" s="22">
        <v>4</v>
      </c>
      <c r="E51" s="23" t="s">
        <v>646</v>
      </c>
      <c r="F51" s="22">
        <v>5</v>
      </c>
      <c r="G51" s="23" t="s">
        <v>32</v>
      </c>
      <c r="H51" s="23" t="s">
        <v>48</v>
      </c>
      <c r="I51" s="22"/>
      <c r="J51" s="22">
        <v>2</v>
      </c>
      <c r="K51" s="22"/>
      <c r="L51" s="22">
        <v>2</v>
      </c>
      <c r="M51" s="23" t="s">
        <v>1684</v>
      </c>
    </row>
    <row r="52" spans="1:13" x14ac:dyDescent="0.25">
      <c r="A52" s="19" t="s">
        <v>701</v>
      </c>
      <c r="B52" s="20" t="s">
        <v>1659</v>
      </c>
      <c r="C52" s="21">
        <v>1</v>
      </c>
      <c r="D52" s="22">
        <v>4</v>
      </c>
      <c r="E52" s="23" t="s">
        <v>647</v>
      </c>
      <c r="F52" s="22">
        <v>0</v>
      </c>
      <c r="G52" s="23" t="s">
        <v>32</v>
      </c>
      <c r="H52" s="23" t="s">
        <v>35</v>
      </c>
      <c r="I52" s="22"/>
      <c r="J52" s="22"/>
      <c r="K52" s="22"/>
      <c r="L52" s="22"/>
      <c r="M52" s="23" t="s">
        <v>648</v>
      </c>
    </row>
    <row r="53" spans="1:13" x14ac:dyDescent="0.25">
      <c r="A53" s="19" t="s">
        <v>702</v>
      </c>
      <c r="B53" s="20" t="s">
        <v>712</v>
      </c>
      <c r="C53" s="21">
        <v>2</v>
      </c>
      <c r="D53" s="22">
        <v>1</v>
      </c>
      <c r="E53" s="23" t="s">
        <v>711</v>
      </c>
      <c r="F53" s="22">
        <v>0</v>
      </c>
      <c r="G53" s="23" t="s">
        <v>713</v>
      </c>
      <c r="H53" s="23" t="s">
        <v>35</v>
      </c>
      <c r="I53" s="22"/>
      <c r="J53" s="22"/>
      <c r="K53" s="22"/>
      <c r="L53" s="22"/>
      <c r="M53" s="23" t="s">
        <v>714</v>
      </c>
    </row>
    <row r="54" spans="1:13" ht="30" x14ac:dyDescent="0.25">
      <c r="A54" s="19" t="s">
        <v>701</v>
      </c>
      <c r="B54" s="20" t="s">
        <v>1661</v>
      </c>
      <c r="C54" s="21">
        <v>2</v>
      </c>
      <c r="D54" s="22">
        <v>4</v>
      </c>
      <c r="E54" s="23" t="s">
        <v>650</v>
      </c>
      <c r="F54" s="22">
        <v>0</v>
      </c>
      <c r="G54" s="23" t="s">
        <v>32</v>
      </c>
      <c r="H54" s="23" t="s">
        <v>30</v>
      </c>
      <c r="I54" s="22"/>
      <c r="J54" s="22"/>
      <c r="K54" s="22">
        <v>2</v>
      </c>
      <c r="L54" s="22">
        <v>2</v>
      </c>
      <c r="M54" s="23"/>
    </row>
    <row r="55" spans="1:13" x14ac:dyDescent="0.25">
      <c r="A55" s="19" t="s">
        <v>701</v>
      </c>
      <c r="B55" s="20" t="s">
        <v>1663</v>
      </c>
      <c r="C55" s="21">
        <v>1</v>
      </c>
      <c r="D55" s="22">
        <v>4</v>
      </c>
      <c r="E55" s="23" t="s">
        <v>651</v>
      </c>
      <c r="F55" s="22">
        <v>9</v>
      </c>
      <c r="G55" s="23" t="s">
        <v>32</v>
      </c>
      <c r="H55" s="23" t="s">
        <v>9</v>
      </c>
      <c r="I55" s="22"/>
      <c r="J55" s="22"/>
      <c r="K55" s="22"/>
      <c r="L55" s="22"/>
      <c r="M55" s="23" t="s">
        <v>652</v>
      </c>
    </row>
    <row r="56" spans="1:13" x14ac:dyDescent="0.25">
      <c r="A56" s="19" t="s">
        <v>701</v>
      </c>
      <c r="B56" s="20" t="s">
        <v>1662</v>
      </c>
      <c r="C56" s="21">
        <v>2</v>
      </c>
      <c r="D56" s="22">
        <v>5</v>
      </c>
      <c r="E56" s="23" t="s">
        <v>71</v>
      </c>
      <c r="F56" s="22">
        <v>4</v>
      </c>
      <c r="G56" s="23" t="s">
        <v>26</v>
      </c>
      <c r="H56" s="23" t="s">
        <v>22</v>
      </c>
      <c r="I56" s="22">
        <v>5</v>
      </c>
      <c r="J56" s="22">
        <v>1</v>
      </c>
      <c r="K56" s="22"/>
      <c r="L56" s="22">
        <v>1</v>
      </c>
      <c r="M56" s="23" t="s">
        <v>653</v>
      </c>
    </row>
    <row r="57" spans="1:13" x14ac:dyDescent="0.25">
      <c r="A57" s="19" t="s">
        <v>701</v>
      </c>
      <c r="B57" s="20" t="s">
        <v>1664</v>
      </c>
      <c r="C57" s="21">
        <v>2</v>
      </c>
      <c r="D57" s="22">
        <v>5</v>
      </c>
      <c r="E57" s="23" t="s">
        <v>654</v>
      </c>
      <c r="F57" s="22">
        <v>3</v>
      </c>
      <c r="G57" s="23" t="s">
        <v>21</v>
      </c>
      <c r="H57" s="23" t="s">
        <v>24</v>
      </c>
      <c r="I57" s="22">
        <v>6</v>
      </c>
      <c r="J57" s="22"/>
      <c r="K57" s="22"/>
      <c r="L57" s="22"/>
      <c r="M57" s="23"/>
    </row>
    <row r="58" spans="1:13" ht="30" x14ac:dyDescent="0.25">
      <c r="A58" s="19" t="s">
        <v>701</v>
      </c>
      <c r="B58" s="20" t="s">
        <v>1665</v>
      </c>
      <c r="C58" s="21">
        <v>2</v>
      </c>
      <c r="D58" s="22">
        <v>5</v>
      </c>
      <c r="E58" s="23" t="s">
        <v>655</v>
      </c>
      <c r="F58" s="22">
        <v>9</v>
      </c>
      <c r="G58" s="23" t="s">
        <v>21</v>
      </c>
      <c r="H58" s="23" t="s">
        <v>149</v>
      </c>
      <c r="I58" s="22">
        <v>5</v>
      </c>
      <c r="J58" s="22"/>
      <c r="K58" s="22"/>
      <c r="L58" s="22"/>
      <c r="M58" s="23" t="s">
        <v>188</v>
      </c>
    </row>
    <row r="59" spans="1:13" x14ac:dyDescent="0.25">
      <c r="A59" s="19" t="s">
        <v>701</v>
      </c>
      <c r="B59" s="20" t="s">
        <v>1666</v>
      </c>
      <c r="C59" s="21">
        <v>2</v>
      </c>
      <c r="D59" s="22">
        <v>5</v>
      </c>
      <c r="E59" s="23" t="s">
        <v>656</v>
      </c>
      <c r="F59" s="22">
        <v>2</v>
      </c>
      <c r="G59" s="23" t="s">
        <v>26</v>
      </c>
      <c r="H59" s="23" t="s">
        <v>41</v>
      </c>
      <c r="I59" s="22">
        <v>5</v>
      </c>
      <c r="J59" s="22"/>
      <c r="K59" s="22"/>
      <c r="L59" s="22"/>
      <c r="M59" s="23" t="s">
        <v>657</v>
      </c>
    </row>
    <row r="60" spans="1:13" ht="30" x14ac:dyDescent="0.25">
      <c r="A60" s="19" t="s">
        <v>701</v>
      </c>
      <c r="B60" s="20" t="s">
        <v>1667</v>
      </c>
      <c r="C60" s="21">
        <v>2</v>
      </c>
      <c r="D60" s="22">
        <v>5</v>
      </c>
      <c r="E60" s="23" t="s">
        <v>658</v>
      </c>
      <c r="F60" s="22">
        <v>4</v>
      </c>
      <c r="G60" s="23" t="s">
        <v>26</v>
      </c>
      <c r="H60" s="23" t="s">
        <v>23</v>
      </c>
      <c r="I60" s="22">
        <v>5</v>
      </c>
      <c r="J60" s="22"/>
      <c r="K60" s="22"/>
      <c r="L60" s="22"/>
      <c r="M60" s="23" t="s">
        <v>622</v>
      </c>
    </row>
    <row r="61" spans="1:13" x14ac:dyDescent="0.25">
      <c r="A61" s="19" t="s">
        <v>701</v>
      </c>
      <c r="B61" s="20" t="s">
        <v>1668</v>
      </c>
      <c r="C61" s="21">
        <v>2</v>
      </c>
      <c r="D61" s="22">
        <v>5</v>
      </c>
      <c r="E61" s="23" t="s">
        <v>659</v>
      </c>
      <c r="F61" s="22">
        <v>5</v>
      </c>
      <c r="G61" s="23" t="s">
        <v>21</v>
      </c>
      <c r="H61" s="23" t="s">
        <v>23</v>
      </c>
      <c r="I61" s="22">
        <v>5</v>
      </c>
      <c r="J61" s="22"/>
      <c r="K61" s="22"/>
      <c r="L61" s="22"/>
      <c r="M61" s="23" t="s">
        <v>214</v>
      </c>
    </row>
    <row r="62" spans="1:13" x14ac:dyDescent="0.25">
      <c r="A62" s="19" t="s">
        <v>701</v>
      </c>
      <c r="B62" s="20" t="s">
        <v>1669</v>
      </c>
      <c r="C62" s="21">
        <v>2</v>
      </c>
      <c r="D62" s="22">
        <v>5</v>
      </c>
      <c r="E62" s="23" t="s">
        <v>660</v>
      </c>
      <c r="F62" s="22">
        <v>8</v>
      </c>
      <c r="G62" s="23" t="s">
        <v>32</v>
      </c>
      <c r="H62" s="23" t="s">
        <v>70</v>
      </c>
      <c r="I62" s="22"/>
      <c r="J62" s="22">
        <v>6</v>
      </c>
      <c r="K62" s="22">
        <v>4</v>
      </c>
      <c r="L62" s="22"/>
      <c r="M62" s="23" t="s">
        <v>169</v>
      </c>
    </row>
    <row r="63" spans="1:13" x14ac:dyDescent="0.25">
      <c r="A63" s="19" t="s">
        <v>701</v>
      </c>
      <c r="B63" s="20" t="s">
        <v>1670</v>
      </c>
      <c r="C63" s="21">
        <v>1</v>
      </c>
      <c r="D63" s="22">
        <v>5</v>
      </c>
      <c r="E63" s="23" t="s">
        <v>47</v>
      </c>
      <c r="F63" s="22">
        <v>3</v>
      </c>
      <c r="G63" s="23" t="s">
        <v>32</v>
      </c>
      <c r="H63" s="23" t="s">
        <v>48</v>
      </c>
      <c r="I63" s="22"/>
      <c r="J63" s="22"/>
      <c r="K63" s="22"/>
      <c r="L63" s="22"/>
      <c r="M63" s="23" t="s">
        <v>661</v>
      </c>
    </row>
    <row r="64" spans="1:13" x14ac:dyDescent="0.25">
      <c r="A64" s="19" t="s">
        <v>701</v>
      </c>
      <c r="B64" s="20" t="s">
        <v>1671</v>
      </c>
      <c r="C64" s="21">
        <v>1</v>
      </c>
      <c r="D64" s="22">
        <v>5</v>
      </c>
      <c r="E64" s="23" t="s">
        <v>51</v>
      </c>
      <c r="F64" s="22">
        <v>1</v>
      </c>
      <c r="G64" s="23" t="s">
        <v>32</v>
      </c>
      <c r="H64" s="23" t="s">
        <v>30</v>
      </c>
      <c r="I64" s="22"/>
      <c r="J64" s="22" t="s">
        <v>52</v>
      </c>
      <c r="K64" s="22"/>
      <c r="L64" s="22"/>
      <c r="M64" s="23" t="s">
        <v>662</v>
      </c>
    </row>
    <row r="65" spans="1:13" x14ac:dyDescent="0.25">
      <c r="A65" s="19" t="s">
        <v>701</v>
      </c>
      <c r="B65" s="20" t="s">
        <v>1672</v>
      </c>
      <c r="C65" s="21">
        <v>1</v>
      </c>
      <c r="D65" s="22">
        <v>5</v>
      </c>
      <c r="E65" s="23" t="s">
        <v>663</v>
      </c>
      <c r="F65" s="22">
        <v>2</v>
      </c>
      <c r="G65" s="23" t="s">
        <v>32</v>
      </c>
      <c r="H65" s="23" t="s">
        <v>30</v>
      </c>
      <c r="I65" s="22"/>
      <c r="J65" s="22"/>
      <c r="K65" s="22">
        <v>2</v>
      </c>
      <c r="L65" s="22"/>
      <c r="M65" s="23" t="s">
        <v>664</v>
      </c>
    </row>
    <row r="66" spans="1:13" x14ac:dyDescent="0.25">
      <c r="A66" s="19" t="s">
        <v>701</v>
      </c>
      <c r="B66" s="20" t="s">
        <v>1673</v>
      </c>
      <c r="C66" s="21">
        <v>1</v>
      </c>
      <c r="D66" s="22">
        <v>5</v>
      </c>
      <c r="E66" s="23" t="s">
        <v>665</v>
      </c>
      <c r="F66" s="22">
        <v>7</v>
      </c>
      <c r="G66" s="23" t="s">
        <v>32</v>
      </c>
      <c r="H66" s="23" t="s">
        <v>30</v>
      </c>
      <c r="I66" s="22"/>
      <c r="J66" s="22"/>
      <c r="K66" s="22"/>
      <c r="L66" s="22"/>
      <c r="M66" s="23" t="s">
        <v>666</v>
      </c>
    </row>
    <row r="67" spans="1:13" x14ac:dyDescent="0.25">
      <c r="A67" s="19" t="s">
        <v>701</v>
      </c>
      <c r="B67" s="23" t="s">
        <v>667</v>
      </c>
      <c r="C67" s="21">
        <v>1</v>
      </c>
      <c r="D67" s="22">
        <v>5</v>
      </c>
      <c r="E67" s="23" t="s">
        <v>43</v>
      </c>
      <c r="F67" s="22">
        <v>0</v>
      </c>
      <c r="G67" s="23" t="s">
        <v>32</v>
      </c>
      <c r="H67" s="23" t="s">
        <v>35</v>
      </c>
      <c r="I67" s="22"/>
      <c r="J67" s="22"/>
      <c r="K67" s="22"/>
      <c r="L67" s="22"/>
      <c r="M67" s="23" t="s">
        <v>668</v>
      </c>
    </row>
    <row r="68" spans="1:13" x14ac:dyDescent="0.25">
      <c r="A68" s="19" t="s">
        <v>701</v>
      </c>
      <c r="B68" s="20" t="s">
        <v>1674</v>
      </c>
      <c r="C68" s="21">
        <v>1</v>
      </c>
      <c r="D68" s="22">
        <v>5</v>
      </c>
      <c r="E68" s="23" t="s">
        <v>669</v>
      </c>
      <c r="F68" s="22">
        <v>3</v>
      </c>
      <c r="G68" s="23" t="s">
        <v>32</v>
      </c>
      <c r="H68" s="23" t="s">
        <v>30</v>
      </c>
      <c r="I68" s="22"/>
      <c r="J68" s="22"/>
      <c r="K68" s="22"/>
      <c r="L68" s="22"/>
      <c r="M68" s="23" t="s">
        <v>1685</v>
      </c>
    </row>
    <row r="69" spans="1:13" x14ac:dyDescent="0.25">
      <c r="A69" s="19" t="s">
        <v>521</v>
      </c>
      <c r="B69" s="25" t="s">
        <v>370</v>
      </c>
      <c r="C69" s="22">
        <v>2</v>
      </c>
      <c r="D69" s="22">
        <v>2</v>
      </c>
      <c r="E69" s="26" t="s">
        <v>371</v>
      </c>
      <c r="F69" s="22">
        <v>4</v>
      </c>
      <c r="G69" s="26" t="s">
        <v>29</v>
      </c>
      <c r="H69" s="26" t="s">
        <v>30</v>
      </c>
      <c r="I69" s="22"/>
      <c r="J69" s="22"/>
      <c r="K69" s="22"/>
      <c r="L69" s="22"/>
      <c r="M69" s="26" t="s">
        <v>372</v>
      </c>
    </row>
    <row r="70" spans="1:13" x14ac:dyDescent="0.25">
      <c r="A70" s="19" t="s">
        <v>701</v>
      </c>
      <c r="B70" s="20" t="s">
        <v>1657</v>
      </c>
      <c r="C70" s="21">
        <v>2</v>
      </c>
      <c r="D70" s="22">
        <v>4</v>
      </c>
      <c r="E70" s="23" t="s">
        <v>28</v>
      </c>
      <c r="F70" s="22">
        <v>3</v>
      </c>
      <c r="G70" s="23" t="s">
        <v>29</v>
      </c>
      <c r="H70" s="23" t="s">
        <v>30</v>
      </c>
      <c r="I70" s="22"/>
      <c r="J70" s="22"/>
      <c r="K70" s="22"/>
      <c r="L70" s="22"/>
      <c r="M70" s="23" t="s">
        <v>444</v>
      </c>
    </row>
    <row r="71" spans="1:13" x14ac:dyDescent="0.25">
      <c r="A71" s="19" t="s">
        <v>701</v>
      </c>
      <c r="B71" s="23" t="s">
        <v>672</v>
      </c>
      <c r="C71" s="21">
        <v>1</v>
      </c>
      <c r="D71" s="22">
        <v>5</v>
      </c>
      <c r="E71" s="23" t="s">
        <v>673</v>
      </c>
      <c r="F71" s="22">
        <v>6</v>
      </c>
      <c r="G71" s="23" t="s">
        <v>32</v>
      </c>
      <c r="H71" s="23" t="s">
        <v>30</v>
      </c>
      <c r="I71" s="22"/>
      <c r="J71" s="22"/>
      <c r="K71" s="22"/>
      <c r="L71" s="22"/>
      <c r="M71" s="23" t="s">
        <v>674</v>
      </c>
    </row>
    <row r="72" spans="1:13" x14ac:dyDescent="0.25">
      <c r="A72" s="19" t="s">
        <v>523</v>
      </c>
      <c r="B72" s="20" t="s">
        <v>524</v>
      </c>
      <c r="C72" s="21">
        <v>2</v>
      </c>
      <c r="D72" s="22">
        <v>1</v>
      </c>
      <c r="E72" s="23" t="s">
        <v>67</v>
      </c>
      <c r="F72" s="22">
        <v>4</v>
      </c>
      <c r="G72" s="23" t="s">
        <v>26</v>
      </c>
      <c r="H72" s="23" t="s">
        <v>68</v>
      </c>
      <c r="I72" s="22">
        <v>3</v>
      </c>
      <c r="J72" s="22"/>
      <c r="K72" s="22"/>
      <c r="L72" s="22"/>
      <c r="M72" s="23" t="s">
        <v>1611</v>
      </c>
    </row>
    <row r="73" spans="1:13" ht="30" x14ac:dyDescent="0.25">
      <c r="A73" s="19" t="s">
        <v>523</v>
      </c>
      <c r="B73" s="20" t="s">
        <v>525</v>
      </c>
      <c r="C73" s="21">
        <v>2</v>
      </c>
      <c r="D73" s="22">
        <v>1</v>
      </c>
      <c r="E73" s="23" t="s">
        <v>526</v>
      </c>
      <c r="F73" s="22">
        <v>4</v>
      </c>
      <c r="G73" s="23" t="s">
        <v>26</v>
      </c>
      <c r="H73" s="23" t="s">
        <v>23</v>
      </c>
      <c r="I73" s="22">
        <v>3</v>
      </c>
      <c r="J73" s="22"/>
      <c r="K73" s="22"/>
      <c r="L73" s="22"/>
      <c r="M73" s="23" t="s">
        <v>527</v>
      </c>
    </row>
    <row r="74" spans="1:13" x14ac:dyDescent="0.25">
      <c r="A74" s="19" t="s">
        <v>701</v>
      </c>
      <c r="B74" s="20" t="s">
        <v>1635</v>
      </c>
      <c r="C74" s="21">
        <v>2</v>
      </c>
      <c r="D74" s="22">
        <v>2</v>
      </c>
      <c r="E74" s="23" t="s">
        <v>608</v>
      </c>
      <c r="F74" s="22">
        <v>4</v>
      </c>
      <c r="G74" s="23" t="s">
        <v>29</v>
      </c>
      <c r="H74" s="23" t="s">
        <v>35</v>
      </c>
      <c r="I74" s="22"/>
      <c r="J74" s="22"/>
      <c r="K74" s="22"/>
      <c r="L74" s="22"/>
      <c r="M74" s="23" t="s">
        <v>609</v>
      </c>
    </row>
    <row r="75" spans="1:13" x14ac:dyDescent="0.25">
      <c r="A75" s="19" t="s">
        <v>523</v>
      </c>
      <c r="B75" s="20" t="s">
        <v>530</v>
      </c>
      <c r="C75" s="21">
        <v>2</v>
      </c>
      <c r="D75" s="22">
        <v>2</v>
      </c>
      <c r="E75" s="23" t="s">
        <v>531</v>
      </c>
      <c r="F75" s="22">
        <v>3</v>
      </c>
      <c r="G75" s="23" t="s">
        <v>26</v>
      </c>
      <c r="H75" s="23" t="s">
        <v>22</v>
      </c>
      <c r="I75" s="22">
        <v>4</v>
      </c>
      <c r="J75" s="22">
        <v>1</v>
      </c>
      <c r="K75" s="22"/>
      <c r="L75" s="22">
        <v>1</v>
      </c>
      <c r="M75" s="23" t="s">
        <v>532</v>
      </c>
    </row>
    <row r="76" spans="1:13" x14ac:dyDescent="0.25">
      <c r="A76" s="19" t="s">
        <v>523</v>
      </c>
      <c r="B76" s="20" t="s">
        <v>533</v>
      </c>
      <c r="C76" s="21">
        <v>2</v>
      </c>
      <c r="D76" s="22">
        <v>2</v>
      </c>
      <c r="E76" s="23" t="s">
        <v>534</v>
      </c>
      <c r="F76" s="22">
        <v>2</v>
      </c>
      <c r="G76" s="23" t="s">
        <v>32</v>
      </c>
      <c r="H76" s="23" t="s">
        <v>30</v>
      </c>
      <c r="I76" s="22"/>
      <c r="J76" s="22"/>
      <c r="K76" s="22"/>
      <c r="L76" s="22">
        <v>1</v>
      </c>
      <c r="M76" s="23" t="s">
        <v>1677</v>
      </c>
    </row>
    <row r="77" spans="1:13" ht="30" x14ac:dyDescent="0.25">
      <c r="A77" s="19" t="s">
        <v>523</v>
      </c>
      <c r="B77" s="20" t="s">
        <v>535</v>
      </c>
      <c r="C77" s="21">
        <v>1</v>
      </c>
      <c r="D77" s="22">
        <v>2</v>
      </c>
      <c r="E77" s="23" t="s">
        <v>59</v>
      </c>
      <c r="F77" s="22">
        <v>0</v>
      </c>
      <c r="G77" s="23" t="s">
        <v>32</v>
      </c>
      <c r="H77" s="23" t="s">
        <v>30</v>
      </c>
      <c r="I77" s="22"/>
      <c r="J77" s="22"/>
      <c r="K77" s="22"/>
      <c r="L77" s="22"/>
      <c r="M77" s="23" t="s">
        <v>536</v>
      </c>
    </row>
    <row r="78" spans="1:13" x14ac:dyDescent="0.25">
      <c r="A78" s="19" t="s">
        <v>523</v>
      </c>
      <c r="B78" s="20" t="s">
        <v>537</v>
      </c>
      <c r="C78" s="21">
        <v>1</v>
      </c>
      <c r="D78" s="22">
        <v>2</v>
      </c>
      <c r="E78" s="23" t="s">
        <v>538</v>
      </c>
      <c r="F78" s="22">
        <v>4</v>
      </c>
      <c r="G78" s="23" t="s">
        <v>32</v>
      </c>
      <c r="H78" s="23" t="s">
        <v>70</v>
      </c>
      <c r="I78" s="22"/>
      <c r="J78" s="22">
        <v>1</v>
      </c>
      <c r="K78" s="22">
        <v>1</v>
      </c>
      <c r="L78" s="22"/>
      <c r="M78" s="23" t="s">
        <v>1678</v>
      </c>
    </row>
    <row r="79" spans="1:13" x14ac:dyDescent="0.25">
      <c r="A79" s="19" t="s">
        <v>523</v>
      </c>
      <c r="B79" s="20" t="s">
        <v>539</v>
      </c>
      <c r="C79" s="21">
        <v>2</v>
      </c>
      <c r="D79" s="22">
        <v>3</v>
      </c>
      <c r="E79" s="23" t="s">
        <v>540</v>
      </c>
      <c r="F79" s="22">
        <v>2</v>
      </c>
      <c r="G79" s="23" t="s">
        <v>21</v>
      </c>
      <c r="H79" s="23" t="s">
        <v>149</v>
      </c>
      <c r="I79" s="22">
        <v>3</v>
      </c>
      <c r="J79" s="22"/>
      <c r="K79" s="22"/>
      <c r="L79" s="22"/>
      <c r="M79" s="23" t="s">
        <v>541</v>
      </c>
    </row>
    <row r="80" spans="1:13" ht="30" x14ac:dyDescent="0.25">
      <c r="A80" s="19" t="s">
        <v>523</v>
      </c>
      <c r="B80" s="20" t="s">
        <v>542</v>
      </c>
      <c r="C80" s="21">
        <v>2</v>
      </c>
      <c r="D80" s="22">
        <v>3</v>
      </c>
      <c r="E80" s="23" t="s">
        <v>543</v>
      </c>
      <c r="F80" s="22">
        <v>4</v>
      </c>
      <c r="G80" s="23" t="s">
        <v>21</v>
      </c>
      <c r="H80" s="23" t="s">
        <v>23</v>
      </c>
      <c r="I80" s="22">
        <v>3</v>
      </c>
      <c r="J80" s="22"/>
      <c r="K80" s="22"/>
      <c r="L80" s="22"/>
      <c r="M80" s="23" t="s">
        <v>1694</v>
      </c>
    </row>
    <row r="81" spans="1:13" ht="30" x14ac:dyDescent="0.25">
      <c r="A81" s="19" t="s">
        <v>523</v>
      </c>
      <c r="B81" s="20" t="s">
        <v>544</v>
      </c>
      <c r="C81" s="21">
        <v>2</v>
      </c>
      <c r="D81" s="22">
        <v>3</v>
      </c>
      <c r="E81" s="23" t="s">
        <v>545</v>
      </c>
      <c r="F81" s="22">
        <v>4</v>
      </c>
      <c r="G81" s="23" t="s">
        <v>32</v>
      </c>
      <c r="H81" s="23" t="s">
        <v>9</v>
      </c>
      <c r="I81" s="22"/>
      <c r="J81" s="22"/>
      <c r="K81" s="22"/>
      <c r="L81" s="22"/>
      <c r="M81" s="23" t="s">
        <v>546</v>
      </c>
    </row>
    <row r="82" spans="1:13" x14ac:dyDescent="0.25">
      <c r="A82" s="19" t="s">
        <v>523</v>
      </c>
      <c r="B82" s="20" t="s">
        <v>547</v>
      </c>
      <c r="C82" s="21">
        <v>1</v>
      </c>
      <c r="D82" s="22">
        <v>4</v>
      </c>
      <c r="E82" s="23" t="s">
        <v>548</v>
      </c>
      <c r="F82" s="22">
        <v>3</v>
      </c>
      <c r="G82" s="23" t="s">
        <v>26</v>
      </c>
      <c r="H82" s="23" t="s">
        <v>41</v>
      </c>
      <c r="I82" s="22">
        <v>5</v>
      </c>
      <c r="J82" s="22"/>
      <c r="K82" s="22"/>
      <c r="L82" s="22"/>
      <c r="M82" s="23" t="s">
        <v>389</v>
      </c>
    </row>
    <row r="83" spans="1:13" ht="30" x14ac:dyDescent="0.25">
      <c r="A83" s="19" t="s">
        <v>523</v>
      </c>
      <c r="B83" s="20" t="s">
        <v>549</v>
      </c>
      <c r="C83" s="21">
        <v>2</v>
      </c>
      <c r="D83" s="22">
        <v>4</v>
      </c>
      <c r="E83" s="23" t="s">
        <v>550</v>
      </c>
      <c r="F83" s="22">
        <v>5</v>
      </c>
      <c r="G83" s="23" t="s">
        <v>21</v>
      </c>
      <c r="H83" s="23" t="s">
        <v>23</v>
      </c>
      <c r="I83" s="22">
        <v>5</v>
      </c>
      <c r="J83" s="22"/>
      <c r="K83" s="22"/>
      <c r="L83" s="22"/>
      <c r="M83" s="23" t="s">
        <v>551</v>
      </c>
    </row>
    <row r="84" spans="1:13" ht="30" x14ac:dyDescent="0.25">
      <c r="A84" s="19" t="s">
        <v>523</v>
      </c>
      <c r="B84" s="20" t="s">
        <v>552</v>
      </c>
      <c r="C84" s="21">
        <v>1</v>
      </c>
      <c r="D84" s="22">
        <v>4</v>
      </c>
      <c r="E84" s="23" t="s">
        <v>553</v>
      </c>
      <c r="F84" s="22">
        <v>2</v>
      </c>
      <c r="G84" s="23" t="s">
        <v>32</v>
      </c>
      <c r="H84" s="23" t="s">
        <v>30</v>
      </c>
      <c r="I84" s="22"/>
      <c r="J84" s="22"/>
      <c r="K84" s="22"/>
      <c r="L84" s="22"/>
      <c r="M84" s="23" t="s">
        <v>554</v>
      </c>
    </row>
    <row r="85" spans="1:13" x14ac:dyDescent="0.25">
      <c r="A85" s="19" t="s">
        <v>701</v>
      </c>
      <c r="B85" s="20" t="s">
        <v>1637</v>
      </c>
      <c r="C85" s="21">
        <v>2</v>
      </c>
      <c r="D85" s="22">
        <v>2</v>
      </c>
      <c r="E85" s="23" t="s">
        <v>34</v>
      </c>
      <c r="F85" s="22">
        <v>3</v>
      </c>
      <c r="G85" s="23" t="s">
        <v>29</v>
      </c>
      <c r="H85" s="23" t="s">
        <v>35</v>
      </c>
      <c r="I85" s="22"/>
      <c r="J85" s="22"/>
      <c r="K85" s="22"/>
      <c r="L85" s="22"/>
      <c r="M85" s="23" t="s">
        <v>614</v>
      </c>
    </row>
    <row r="86" spans="1:13" ht="30" x14ac:dyDescent="0.25">
      <c r="A86" s="19" t="s">
        <v>523</v>
      </c>
      <c r="B86" s="20" t="s">
        <v>558</v>
      </c>
      <c r="C86" s="21">
        <v>1</v>
      </c>
      <c r="D86" s="22">
        <v>4</v>
      </c>
      <c r="E86" s="23" t="s">
        <v>559</v>
      </c>
      <c r="F86" s="22">
        <v>4</v>
      </c>
      <c r="G86" s="23" t="s">
        <v>26</v>
      </c>
      <c r="H86" s="23" t="s">
        <v>23</v>
      </c>
      <c r="I86" s="22">
        <v>4</v>
      </c>
      <c r="J86" s="22"/>
      <c r="K86" s="22"/>
      <c r="L86" s="22"/>
      <c r="M86" s="23" t="s">
        <v>560</v>
      </c>
    </row>
    <row r="87" spans="1:13" ht="30" x14ac:dyDescent="0.25">
      <c r="A87" s="19" t="s">
        <v>523</v>
      </c>
      <c r="B87" s="20" t="s">
        <v>561</v>
      </c>
      <c r="C87" s="21">
        <v>2</v>
      </c>
      <c r="D87" s="22">
        <v>5</v>
      </c>
      <c r="E87" s="23" t="s">
        <v>562</v>
      </c>
      <c r="F87" s="22">
        <v>4</v>
      </c>
      <c r="G87" s="23" t="s">
        <v>21</v>
      </c>
      <c r="H87" s="23" t="s">
        <v>24</v>
      </c>
      <c r="I87" s="22">
        <v>5</v>
      </c>
      <c r="J87" s="22"/>
      <c r="K87" s="22"/>
      <c r="L87" s="22"/>
      <c r="M87" s="23" t="s">
        <v>1681</v>
      </c>
    </row>
    <row r="88" spans="1:13" ht="30" x14ac:dyDescent="0.25">
      <c r="A88" s="19" t="s">
        <v>523</v>
      </c>
      <c r="B88" s="20" t="s">
        <v>563</v>
      </c>
      <c r="C88" s="21">
        <v>2</v>
      </c>
      <c r="D88" s="22">
        <v>5</v>
      </c>
      <c r="E88" s="23" t="s">
        <v>564</v>
      </c>
      <c r="F88" s="22">
        <v>7</v>
      </c>
      <c r="G88" s="23" t="s">
        <v>21</v>
      </c>
      <c r="H88" s="23" t="s">
        <v>23</v>
      </c>
      <c r="I88" s="22">
        <v>4</v>
      </c>
      <c r="J88" s="22"/>
      <c r="K88" s="22"/>
      <c r="L88" s="22"/>
      <c r="M88" s="23" t="s">
        <v>1695</v>
      </c>
    </row>
    <row r="89" spans="1:13" x14ac:dyDescent="0.25">
      <c r="A89" s="19" t="s">
        <v>523</v>
      </c>
      <c r="B89" s="20" t="s">
        <v>565</v>
      </c>
      <c r="C89" s="21">
        <v>1</v>
      </c>
      <c r="D89" s="22">
        <v>5</v>
      </c>
      <c r="E89" s="23" t="s">
        <v>566</v>
      </c>
      <c r="F89" s="22">
        <v>1</v>
      </c>
      <c r="G89" s="23" t="s">
        <v>32</v>
      </c>
      <c r="H89" s="23" t="s">
        <v>30</v>
      </c>
      <c r="I89" s="22"/>
      <c r="J89" s="22"/>
      <c r="K89" s="22"/>
      <c r="L89" s="22"/>
      <c r="M89" s="23" t="s">
        <v>1682</v>
      </c>
    </row>
    <row r="90" spans="1:13" ht="30" x14ac:dyDescent="0.25">
      <c r="A90" s="19" t="s">
        <v>523</v>
      </c>
      <c r="B90" s="20" t="s">
        <v>567</v>
      </c>
      <c r="C90" s="21">
        <v>1</v>
      </c>
      <c r="D90" s="22">
        <v>5</v>
      </c>
      <c r="E90" s="23" t="s">
        <v>568</v>
      </c>
      <c r="F90" s="22">
        <v>2</v>
      </c>
      <c r="G90" s="23" t="s">
        <v>32</v>
      </c>
      <c r="H90" s="23" t="s">
        <v>9</v>
      </c>
      <c r="I90" s="22"/>
      <c r="J90" s="22"/>
      <c r="K90" s="22"/>
      <c r="L90" s="22"/>
      <c r="M90" s="23" t="s">
        <v>569</v>
      </c>
    </row>
    <row r="91" spans="1:13" x14ac:dyDescent="0.25">
      <c r="A91" s="19" t="s">
        <v>523</v>
      </c>
      <c r="B91" s="20" t="s">
        <v>570</v>
      </c>
      <c r="C91" s="21">
        <v>2</v>
      </c>
      <c r="D91" s="22" t="s">
        <v>1710</v>
      </c>
      <c r="E91" s="23" t="s">
        <v>571</v>
      </c>
      <c r="F91" s="22"/>
      <c r="G91" s="23" t="s">
        <v>21</v>
      </c>
      <c r="H91" s="23" t="s">
        <v>24</v>
      </c>
      <c r="I91" s="22">
        <v>3</v>
      </c>
      <c r="J91" s="22"/>
      <c r="K91" s="22"/>
      <c r="L91" s="22"/>
      <c r="M91" s="24" t="s">
        <v>1686</v>
      </c>
    </row>
    <row r="92" spans="1:13" x14ac:dyDescent="0.25">
      <c r="A92" s="19" t="s">
        <v>523</v>
      </c>
      <c r="B92" s="20" t="s">
        <v>577</v>
      </c>
      <c r="C92" s="21">
        <v>1</v>
      </c>
      <c r="D92" s="22" t="s">
        <v>1710</v>
      </c>
      <c r="E92" s="23" t="s">
        <v>69</v>
      </c>
      <c r="F92" s="22"/>
      <c r="G92" s="23" t="s">
        <v>32</v>
      </c>
      <c r="H92" s="23" t="s">
        <v>70</v>
      </c>
      <c r="I92" s="22"/>
      <c r="J92" s="22">
        <v>1</v>
      </c>
      <c r="K92" s="22">
        <v>2</v>
      </c>
      <c r="L92" s="22"/>
      <c r="M92" s="23" t="s">
        <v>1687</v>
      </c>
    </row>
    <row r="93" spans="1:13" x14ac:dyDescent="0.25">
      <c r="A93" s="19" t="s">
        <v>523</v>
      </c>
      <c r="B93" s="20" t="s">
        <v>581</v>
      </c>
      <c r="C93" s="21">
        <v>2</v>
      </c>
      <c r="D93" s="22" t="s">
        <v>1710</v>
      </c>
      <c r="E93" s="23" t="s">
        <v>582</v>
      </c>
      <c r="F93" s="22"/>
      <c r="G93" s="23" t="s">
        <v>21</v>
      </c>
      <c r="H93" s="23" t="s">
        <v>23</v>
      </c>
      <c r="I93" s="22">
        <v>4</v>
      </c>
      <c r="J93" s="22"/>
      <c r="K93" s="22"/>
      <c r="L93" s="22"/>
      <c r="M93" s="23" t="s">
        <v>583</v>
      </c>
    </row>
    <row r="94" spans="1:13" ht="30" x14ac:dyDescent="0.25">
      <c r="A94" s="19" t="s">
        <v>523</v>
      </c>
      <c r="B94" s="20" t="s">
        <v>574</v>
      </c>
      <c r="C94" s="21">
        <v>2</v>
      </c>
      <c r="D94" s="22" t="s">
        <v>1710</v>
      </c>
      <c r="E94" s="23" t="s">
        <v>575</v>
      </c>
      <c r="F94" s="22"/>
      <c r="G94" s="23" t="s">
        <v>32</v>
      </c>
      <c r="H94" s="23" t="s">
        <v>30</v>
      </c>
      <c r="I94" s="22"/>
      <c r="J94" s="22"/>
      <c r="K94" s="22"/>
      <c r="L94" s="22"/>
      <c r="M94" s="23" t="s">
        <v>576</v>
      </c>
    </row>
    <row r="95" spans="1:13" x14ac:dyDescent="0.25">
      <c r="A95" s="19" t="s">
        <v>523</v>
      </c>
      <c r="B95" s="20" t="s">
        <v>584</v>
      </c>
      <c r="C95" s="21">
        <v>2</v>
      </c>
      <c r="D95" s="22" t="s">
        <v>1710</v>
      </c>
      <c r="E95" s="23" t="s">
        <v>585</v>
      </c>
      <c r="F95" s="22"/>
      <c r="G95" s="23" t="s">
        <v>32</v>
      </c>
      <c r="H95" s="23" t="s">
        <v>35</v>
      </c>
      <c r="I95" s="22"/>
      <c r="J95" s="22">
        <v>2</v>
      </c>
      <c r="K95" s="22"/>
      <c r="L95" s="22">
        <v>3</v>
      </c>
      <c r="M95" s="23" t="s">
        <v>586</v>
      </c>
    </row>
    <row r="96" spans="1:13" ht="30" x14ac:dyDescent="0.25">
      <c r="A96" s="19" t="s">
        <v>523</v>
      </c>
      <c r="B96" s="20" t="s">
        <v>572</v>
      </c>
      <c r="C96" s="21">
        <v>2</v>
      </c>
      <c r="D96" s="22" t="s">
        <v>1710</v>
      </c>
      <c r="E96" s="23" t="s">
        <v>573</v>
      </c>
      <c r="F96" s="22"/>
      <c r="G96" s="23" t="s">
        <v>26</v>
      </c>
      <c r="H96" s="23" t="s">
        <v>298</v>
      </c>
      <c r="I96" s="22">
        <v>3</v>
      </c>
      <c r="J96" s="22"/>
      <c r="K96" s="22"/>
      <c r="L96" s="22"/>
      <c r="M96" s="23" t="s">
        <v>1695</v>
      </c>
    </row>
    <row r="97" spans="1:13" x14ac:dyDescent="0.25">
      <c r="A97" s="19" t="s">
        <v>523</v>
      </c>
      <c r="B97" s="20" t="s">
        <v>587</v>
      </c>
      <c r="C97" s="21">
        <v>2</v>
      </c>
      <c r="D97" s="22" t="s">
        <v>1710</v>
      </c>
      <c r="E97" s="23" t="s">
        <v>588</v>
      </c>
      <c r="F97" s="22"/>
      <c r="G97" s="23" t="s">
        <v>29</v>
      </c>
      <c r="H97" s="23" t="s">
        <v>35</v>
      </c>
      <c r="I97" s="22"/>
      <c r="J97" s="22"/>
      <c r="K97" s="22"/>
      <c r="L97" s="22"/>
      <c r="M97" s="23" t="s">
        <v>589</v>
      </c>
    </row>
    <row r="98" spans="1:13" x14ac:dyDescent="0.25">
      <c r="A98" s="19" t="s">
        <v>523</v>
      </c>
      <c r="B98" s="20" t="s">
        <v>578</v>
      </c>
      <c r="C98" s="21">
        <v>1</v>
      </c>
      <c r="D98" s="22" t="s">
        <v>1710</v>
      </c>
      <c r="E98" s="23" t="s">
        <v>579</v>
      </c>
      <c r="F98" s="22"/>
      <c r="G98" s="23" t="s">
        <v>32</v>
      </c>
      <c r="H98" s="23" t="s">
        <v>48</v>
      </c>
      <c r="I98" s="22"/>
      <c r="J98" s="22">
        <v>2</v>
      </c>
      <c r="K98" s="22"/>
      <c r="L98" s="22">
        <v>1</v>
      </c>
      <c r="M98" s="23" t="s">
        <v>580</v>
      </c>
    </row>
    <row r="99" spans="1:13" x14ac:dyDescent="0.25">
      <c r="A99" s="19" t="s">
        <v>523</v>
      </c>
      <c r="B99" s="20" t="s">
        <v>522</v>
      </c>
      <c r="C99" s="22">
        <v>4</v>
      </c>
      <c r="D99" s="22" t="s">
        <v>1711</v>
      </c>
      <c r="E99" s="23" t="s">
        <v>61</v>
      </c>
      <c r="F99" s="22"/>
      <c r="G99" s="23" t="s">
        <v>26</v>
      </c>
      <c r="H99" s="23" t="s">
        <v>62</v>
      </c>
      <c r="I99" s="22">
        <v>2</v>
      </c>
      <c r="J99" s="22"/>
      <c r="K99" s="22"/>
      <c r="L99" s="22">
        <v>1</v>
      </c>
      <c r="M99" s="23"/>
    </row>
    <row r="100" spans="1:13" x14ac:dyDescent="0.25">
      <c r="A100" s="19" t="s">
        <v>79</v>
      </c>
      <c r="B100" s="25" t="s">
        <v>182</v>
      </c>
      <c r="C100" s="22">
        <v>2</v>
      </c>
      <c r="D100" s="22">
        <v>6</v>
      </c>
      <c r="E100" s="26" t="s">
        <v>80</v>
      </c>
      <c r="F100" s="22">
        <v>4</v>
      </c>
      <c r="G100" s="26" t="s">
        <v>26</v>
      </c>
      <c r="H100" s="26" t="s">
        <v>62</v>
      </c>
      <c r="I100" s="22">
        <v>6</v>
      </c>
      <c r="J100" s="22"/>
      <c r="K100" s="22"/>
      <c r="L100" s="22"/>
      <c r="M100" s="26" t="s">
        <v>183</v>
      </c>
    </row>
    <row r="101" spans="1:13" x14ac:dyDescent="0.25">
      <c r="A101" s="19" t="s">
        <v>79</v>
      </c>
      <c r="B101" s="25" t="s">
        <v>184</v>
      </c>
      <c r="C101" s="22">
        <v>2</v>
      </c>
      <c r="D101" s="22">
        <v>6</v>
      </c>
      <c r="E101" s="26" t="s">
        <v>81</v>
      </c>
      <c r="F101" s="22">
        <v>8</v>
      </c>
      <c r="G101" s="26" t="s">
        <v>26</v>
      </c>
      <c r="H101" s="26" t="s">
        <v>185</v>
      </c>
      <c r="I101" s="67">
        <v>7</v>
      </c>
      <c r="J101" s="67">
        <v>2</v>
      </c>
      <c r="K101" s="67"/>
      <c r="L101" s="67">
        <v>2</v>
      </c>
      <c r="M101" s="26" t="s">
        <v>147</v>
      </c>
    </row>
    <row r="102" spans="1:13" x14ac:dyDescent="0.25">
      <c r="A102" s="19" t="s">
        <v>79</v>
      </c>
      <c r="B102" s="25" t="s">
        <v>186</v>
      </c>
      <c r="C102" s="22">
        <v>2</v>
      </c>
      <c r="D102" s="22">
        <v>6</v>
      </c>
      <c r="E102" s="26" t="s">
        <v>82</v>
      </c>
      <c r="F102" s="22">
        <v>3</v>
      </c>
      <c r="G102" s="26" t="s">
        <v>21</v>
      </c>
      <c r="H102" s="26" t="s">
        <v>24</v>
      </c>
      <c r="I102" s="22">
        <v>7</v>
      </c>
      <c r="J102" s="22"/>
      <c r="K102" s="22"/>
      <c r="L102" s="22"/>
      <c r="M102" s="26"/>
    </row>
    <row r="103" spans="1:13" ht="30" x14ac:dyDescent="0.25">
      <c r="A103" s="19" t="s">
        <v>79</v>
      </c>
      <c r="B103" s="25" t="s">
        <v>187</v>
      </c>
      <c r="C103" s="22">
        <v>2</v>
      </c>
      <c r="D103" s="22">
        <v>6</v>
      </c>
      <c r="E103" s="26" t="s">
        <v>83</v>
      </c>
      <c r="F103" s="22">
        <v>9</v>
      </c>
      <c r="G103" s="26" t="s">
        <v>21</v>
      </c>
      <c r="H103" s="26" t="s">
        <v>149</v>
      </c>
      <c r="I103" s="22">
        <v>6</v>
      </c>
      <c r="J103" s="22"/>
      <c r="K103" s="22"/>
      <c r="L103" s="22"/>
      <c r="M103" s="26" t="s">
        <v>188</v>
      </c>
    </row>
    <row r="104" spans="1:13" ht="30" x14ac:dyDescent="0.25">
      <c r="A104" s="19" t="s">
        <v>79</v>
      </c>
      <c r="B104" s="25" t="s">
        <v>189</v>
      </c>
      <c r="C104" s="22">
        <v>2</v>
      </c>
      <c r="D104" s="22">
        <v>6</v>
      </c>
      <c r="E104" s="26" t="s">
        <v>84</v>
      </c>
      <c r="F104" s="22">
        <v>3</v>
      </c>
      <c r="G104" s="26" t="s">
        <v>21</v>
      </c>
      <c r="H104" s="26" t="s">
        <v>23</v>
      </c>
      <c r="I104" s="22">
        <v>6</v>
      </c>
      <c r="J104" s="22"/>
      <c r="K104" s="22"/>
      <c r="L104" s="22"/>
      <c r="M104" s="26" t="s">
        <v>190</v>
      </c>
    </row>
    <row r="105" spans="1:13" x14ac:dyDescent="0.25">
      <c r="A105" s="19" t="s">
        <v>79</v>
      </c>
      <c r="B105" s="25" t="s">
        <v>191</v>
      </c>
      <c r="C105" s="22">
        <v>2</v>
      </c>
      <c r="D105" s="22">
        <v>6</v>
      </c>
      <c r="E105" s="26" t="s">
        <v>85</v>
      </c>
      <c r="F105" s="22">
        <v>3</v>
      </c>
      <c r="G105" s="26" t="s">
        <v>26</v>
      </c>
      <c r="H105" s="26" t="s">
        <v>23</v>
      </c>
      <c r="I105" s="22">
        <v>6</v>
      </c>
      <c r="J105" s="22"/>
      <c r="K105" s="22"/>
      <c r="L105" s="22"/>
      <c r="M105" s="26" t="s">
        <v>783</v>
      </c>
    </row>
    <row r="106" spans="1:13" ht="30" x14ac:dyDescent="0.25">
      <c r="A106" s="19" t="s">
        <v>79</v>
      </c>
      <c r="B106" s="25" t="s">
        <v>192</v>
      </c>
      <c r="C106" s="22">
        <v>1</v>
      </c>
      <c r="D106" s="22">
        <v>6</v>
      </c>
      <c r="E106" s="26" t="s">
        <v>86</v>
      </c>
      <c r="F106" s="22">
        <v>2</v>
      </c>
      <c r="G106" s="26" t="s">
        <v>21</v>
      </c>
      <c r="H106" s="26" t="s">
        <v>23</v>
      </c>
      <c r="I106" s="22">
        <v>6</v>
      </c>
      <c r="J106" s="22"/>
      <c r="K106" s="22"/>
      <c r="L106" s="22"/>
      <c r="M106" s="26" t="s">
        <v>1696</v>
      </c>
    </row>
    <row r="107" spans="1:13" x14ac:dyDescent="0.25">
      <c r="A107" s="19" t="s">
        <v>702</v>
      </c>
      <c r="B107" s="20" t="s">
        <v>721</v>
      </c>
      <c r="C107" s="21">
        <v>2</v>
      </c>
      <c r="D107" s="22">
        <v>2</v>
      </c>
      <c r="E107" s="23" t="s">
        <v>722</v>
      </c>
      <c r="F107" s="22">
        <v>3</v>
      </c>
      <c r="G107" s="23" t="s">
        <v>713</v>
      </c>
      <c r="H107" s="23" t="s">
        <v>35</v>
      </c>
      <c r="I107" s="22"/>
      <c r="J107" s="22"/>
      <c r="K107" s="22"/>
      <c r="L107" s="22"/>
      <c r="M107" s="23" t="s">
        <v>1707</v>
      </c>
    </row>
    <row r="108" spans="1:13" x14ac:dyDescent="0.25">
      <c r="A108" s="19" t="s">
        <v>521</v>
      </c>
      <c r="B108" s="25" t="s">
        <v>442</v>
      </c>
      <c r="C108" s="22">
        <v>1</v>
      </c>
      <c r="D108" s="22">
        <v>4</v>
      </c>
      <c r="E108" s="26" t="s">
        <v>443</v>
      </c>
      <c r="F108" s="22">
        <v>3</v>
      </c>
      <c r="G108" s="26" t="s">
        <v>29</v>
      </c>
      <c r="H108" s="26" t="s">
        <v>30</v>
      </c>
      <c r="I108" s="22"/>
      <c r="J108" s="22"/>
      <c r="K108" s="22"/>
      <c r="L108" s="22"/>
      <c r="M108" s="26" t="s">
        <v>444</v>
      </c>
    </row>
    <row r="109" spans="1:13" x14ac:dyDescent="0.25">
      <c r="A109" s="19" t="s">
        <v>79</v>
      </c>
      <c r="B109" s="25" t="s">
        <v>196</v>
      </c>
      <c r="C109" s="22">
        <v>2</v>
      </c>
      <c r="D109" s="22">
        <v>6</v>
      </c>
      <c r="E109" s="26" t="s">
        <v>89</v>
      </c>
      <c r="F109" s="22">
        <v>8</v>
      </c>
      <c r="G109" s="26" t="s">
        <v>32</v>
      </c>
      <c r="H109" s="26" t="s">
        <v>166</v>
      </c>
      <c r="I109" s="67"/>
      <c r="J109" s="67">
        <v>4</v>
      </c>
      <c r="K109" s="67">
        <v>4</v>
      </c>
      <c r="L109" s="67"/>
      <c r="M109" s="26" t="s">
        <v>197</v>
      </c>
    </row>
    <row r="110" spans="1:13" x14ac:dyDescent="0.25">
      <c r="A110" s="19" t="s">
        <v>79</v>
      </c>
      <c r="B110" s="25" t="s">
        <v>198</v>
      </c>
      <c r="C110" s="22">
        <v>2</v>
      </c>
      <c r="D110" s="22">
        <v>6</v>
      </c>
      <c r="E110" s="26" t="s">
        <v>90</v>
      </c>
      <c r="F110" s="22">
        <v>2</v>
      </c>
      <c r="G110" s="26" t="s">
        <v>32</v>
      </c>
      <c r="H110" s="26" t="s">
        <v>70</v>
      </c>
      <c r="I110" s="22"/>
      <c r="J110" s="22">
        <v>3</v>
      </c>
      <c r="K110" s="22">
        <v>1</v>
      </c>
      <c r="L110" s="22">
        <v>2</v>
      </c>
      <c r="M110" s="26" t="s">
        <v>169</v>
      </c>
    </row>
    <row r="111" spans="1:13" ht="30" x14ac:dyDescent="0.25">
      <c r="A111" s="19" t="s">
        <v>79</v>
      </c>
      <c r="B111" s="25" t="s">
        <v>199</v>
      </c>
      <c r="C111" s="22">
        <v>1</v>
      </c>
      <c r="D111" s="22">
        <v>6</v>
      </c>
      <c r="E111" s="26" t="s">
        <v>91</v>
      </c>
      <c r="F111" s="22">
        <v>1</v>
      </c>
      <c r="G111" s="26" t="s">
        <v>32</v>
      </c>
      <c r="H111" s="26" t="s">
        <v>35</v>
      </c>
      <c r="I111" s="22"/>
      <c r="J111" s="22"/>
      <c r="K111" s="22"/>
      <c r="L111" s="22"/>
      <c r="M111" s="26" t="s">
        <v>171</v>
      </c>
    </row>
    <row r="112" spans="1:13" x14ac:dyDescent="0.25">
      <c r="A112" s="19" t="s">
        <v>79</v>
      </c>
      <c r="B112" s="25" t="s">
        <v>200</v>
      </c>
      <c r="C112" s="22">
        <v>2</v>
      </c>
      <c r="D112" s="22">
        <v>6</v>
      </c>
      <c r="E112" s="26" t="s">
        <v>92</v>
      </c>
      <c r="F112" s="22">
        <v>0</v>
      </c>
      <c r="G112" s="26" t="s">
        <v>32</v>
      </c>
      <c r="H112" s="26" t="s">
        <v>35</v>
      </c>
      <c r="I112" s="22"/>
      <c r="J112" s="22"/>
      <c r="K112" s="22"/>
      <c r="L112" s="22"/>
      <c r="M112" s="26" t="s">
        <v>201</v>
      </c>
    </row>
    <row r="113" spans="1:13" x14ac:dyDescent="0.25">
      <c r="A113" s="19" t="s">
        <v>79</v>
      </c>
      <c r="B113" s="25" t="s">
        <v>202</v>
      </c>
      <c r="C113" s="22">
        <v>1</v>
      </c>
      <c r="D113" s="22">
        <v>6</v>
      </c>
      <c r="E113" s="26" t="s">
        <v>93</v>
      </c>
      <c r="F113" s="22">
        <v>5</v>
      </c>
      <c r="G113" s="26" t="s">
        <v>32</v>
      </c>
      <c r="H113" s="26" t="s">
        <v>30</v>
      </c>
      <c r="I113" s="22"/>
      <c r="J113" s="22"/>
      <c r="K113" s="22"/>
      <c r="L113" s="22"/>
      <c r="M113" s="26" t="s">
        <v>175</v>
      </c>
    </row>
    <row r="114" spans="1:13" x14ac:dyDescent="0.25">
      <c r="A114" s="19" t="s">
        <v>79</v>
      </c>
      <c r="B114" s="25" t="s">
        <v>203</v>
      </c>
      <c r="C114" s="22">
        <v>1</v>
      </c>
      <c r="D114" s="22" t="s">
        <v>1710</v>
      </c>
      <c r="E114" s="26" t="s">
        <v>94</v>
      </c>
      <c r="F114" s="22"/>
      <c r="G114" s="26" t="s">
        <v>26</v>
      </c>
      <c r="H114" s="26" t="s">
        <v>22</v>
      </c>
      <c r="I114" s="22">
        <v>6</v>
      </c>
      <c r="J114" s="22">
        <v>3</v>
      </c>
      <c r="K114" s="22"/>
      <c r="L114" s="22">
        <v>3</v>
      </c>
      <c r="M114" s="26" t="s">
        <v>204</v>
      </c>
    </row>
    <row r="115" spans="1:13" ht="30" x14ac:dyDescent="0.25">
      <c r="A115" s="19" t="s">
        <v>79</v>
      </c>
      <c r="B115" s="25" t="s">
        <v>205</v>
      </c>
      <c r="C115" s="22">
        <v>1</v>
      </c>
      <c r="D115" s="22" t="s">
        <v>1710</v>
      </c>
      <c r="E115" s="26" t="s">
        <v>95</v>
      </c>
      <c r="F115" s="22"/>
      <c r="G115" s="26" t="s">
        <v>32</v>
      </c>
      <c r="H115" s="26" t="s">
        <v>35</v>
      </c>
      <c r="I115" s="22"/>
      <c r="J115" s="22"/>
      <c r="K115" s="22"/>
      <c r="L115" s="22"/>
      <c r="M115" s="26" t="s">
        <v>206</v>
      </c>
    </row>
    <row r="116" spans="1:13" x14ac:dyDescent="0.25">
      <c r="A116" s="19" t="s">
        <v>96</v>
      </c>
      <c r="B116" s="25" t="s">
        <v>235</v>
      </c>
      <c r="C116" s="22">
        <v>2</v>
      </c>
      <c r="D116" s="22">
        <v>6</v>
      </c>
      <c r="E116" s="26" t="s">
        <v>122</v>
      </c>
      <c r="F116" s="22">
        <v>1</v>
      </c>
      <c r="G116" s="26" t="s">
        <v>26</v>
      </c>
      <c r="H116" s="26" t="s">
        <v>22</v>
      </c>
      <c r="I116" s="22">
        <v>6</v>
      </c>
      <c r="J116" s="22">
        <v>2</v>
      </c>
      <c r="K116" s="22"/>
      <c r="L116" s="22">
        <v>2</v>
      </c>
      <c r="M116" s="26"/>
    </row>
    <row r="117" spans="1:13" ht="30" x14ac:dyDescent="0.25">
      <c r="A117" s="19" t="s">
        <v>96</v>
      </c>
      <c r="B117" s="25" t="s">
        <v>236</v>
      </c>
      <c r="C117" s="22">
        <v>2</v>
      </c>
      <c r="D117" s="22">
        <v>6</v>
      </c>
      <c r="E117" s="26" t="s">
        <v>237</v>
      </c>
      <c r="F117" s="22">
        <v>8</v>
      </c>
      <c r="G117" s="26" t="s">
        <v>26</v>
      </c>
      <c r="H117" s="26" t="s">
        <v>238</v>
      </c>
      <c r="I117" s="67">
        <v>7</v>
      </c>
      <c r="J117" s="67"/>
      <c r="K117" s="67"/>
      <c r="L117" s="67"/>
      <c r="M117" s="26" t="s">
        <v>239</v>
      </c>
    </row>
    <row r="118" spans="1:13" x14ac:dyDescent="0.25">
      <c r="A118" s="19" t="s">
        <v>96</v>
      </c>
      <c r="B118" s="25" t="s">
        <v>240</v>
      </c>
      <c r="C118" s="22">
        <v>2</v>
      </c>
      <c r="D118" s="22">
        <v>6</v>
      </c>
      <c r="E118" s="26" t="s">
        <v>97</v>
      </c>
      <c r="F118" s="22">
        <v>3</v>
      </c>
      <c r="G118" s="26" t="s">
        <v>21</v>
      </c>
      <c r="H118" s="26" t="s">
        <v>24</v>
      </c>
      <c r="I118" s="22">
        <v>5</v>
      </c>
      <c r="J118" s="22"/>
      <c r="K118" s="22"/>
      <c r="L118" s="22"/>
      <c r="M118" s="26" t="s">
        <v>1698</v>
      </c>
    </row>
    <row r="119" spans="1:13" x14ac:dyDescent="0.25">
      <c r="A119" s="19" t="s">
        <v>96</v>
      </c>
      <c r="B119" s="25" t="s">
        <v>241</v>
      </c>
      <c r="C119" s="22">
        <v>2</v>
      </c>
      <c r="D119" s="22">
        <v>6</v>
      </c>
      <c r="E119" s="26" t="s">
        <v>98</v>
      </c>
      <c r="F119" s="22">
        <v>2</v>
      </c>
      <c r="G119" s="26" t="s">
        <v>21</v>
      </c>
      <c r="H119" s="26" t="s">
        <v>149</v>
      </c>
      <c r="I119" s="22">
        <v>6</v>
      </c>
      <c r="J119" s="22"/>
      <c r="K119" s="22"/>
      <c r="L119" s="22"/>
      <c r="M119" s="26" t="s">
        <v>242</v>
      </c>
    </row>
    <row r="120" spans="1:13" ht="30" x14ac:dyDescent="0.25">
      <c r="A120" s="19" t="s">
        <v>96</v>
      </c>
      <c r="B120" s="25" t="s">
        <v>243</v>
      </c>
      <c r="C120" s="22">
        <v>2</v>
      </c>
      <c r="D120" s="22">
        <v>6</v>
      </c>
      <c r="E120" s="26" t="s">
        <v>99</v>
      </c>
      <c r="F120" s="22">
        <v>4</v>
      </c>
      <c r="G120" s="26" t="s">
        <v>21</v>
      </c>
      <c r="H120" s="26" t="s">
        <v>23</v>
      </c>
      <c r="I120" s="22">
        <v>6</v>
      </c>
      <c r="J120" s="22"/>
      <c r="K120" s="22"/>
      <c r="L120" s="22"/>
      <c r="M120" s="26" t="s">
        <v>244</v>
      </c>
    </row>
    <row r="121" spans="1:13" ht="30" x14ac:dyDescent="0.25">
      <c r="A121" s="19" t="s">
        <v>96</v>
      </c>
      <c r="B121" s="25" t="s">
        <v>245</v>
      </c>
      <c r="C121" s="22">
        <v>2</v>
      </c>
      <c r="D121" s="22">
        <v>6</v>
      </c>
      <c r="E121" s="26" t="s">
        <v>100</v>
      </c>
      <c r="F121" s="22">
        <v>4</v>
      </c>
      <c r="G121" s="26" t="s">
        <v>21</v>
      </c>
      <c r="H121" s="26" t="s">
        <v>23</v>
      </c>
      <c r="I121" s="22">
        <v>6</v>
      </c>
      <c r="J121" s="22"/>
      <c r="K121" s="22"/>
      <c r="L121" s="22"/>
      <c r="M121" s="26" t="s">
        <v>246</v>
      </c>
    </row>
    <row r="122" spans="1:13" x14ac:dyDescent="0.25">
      <c r="A122" s="19" t="s">
        <v>96</v>
      </c>
      <c r="B122" s="25" t="s">
        <v>247</v>
      </c>
      <c r="C122" s="22">
        <v>1</v>
      </c>
      <c r="D122" s="22">
        <v>6</v>
      </c>
      <c r="E122" s="26" t="s">
        <v>101</v>
      </c>
      <c r="F122" s="22">
        <v>7</v>
      </c>
      <c r="G122" s="26" t="s">
        <v>21</v>
      </c>
      <c r="H122" s="26" t="s">
        <v>23</v>
      </c>
      <c r="I122" s="22">
        <v>6</v>
      </c>
      <c r="J122" s="22"/>
      <c r="K122" s="22"/>
      <c r="L122" s="22"/>
      <c r="M122" s="26" t="s">
        <v>248</v>
      </c>
    </row>
    <row r="123" spans="1:13" x14ac:dyDescent="0.25">
      <c r="A123" s="19" t="s">
        <v>701</v>
      </c>
      <c r="B123" s="20" t="s">
        <v>1675</v>
      </c>
      <c r="C123" s="21">
        <v>1</v>
      </c>
      <c r="D123" s="22">
        <v>5</v>
      </c>
      <c r="E123" s="23" t="s">
        <v>55</v>
      </c>
      <c r="F123" s="22">
        <v>0</v>
      </c>
      <c r="G123" s="23" t="s">
        <v>29</v>
      </c>
      <c r="H123" s="23" t="s">
        <v>30</v>
      </c>
      <c r="I123" s="22"/>
      <c r="J123" s="22"/>
      <c r="K123" s="22"/>
      <c r="L123" s="22"/>
      <c r="M123" s="23" t="s">
        <v>670</v>
      </c>
    </row>
    <row r="124" spans="1:13" x14ac:dyDescent="0.25">
      <c r="A124" s="19" t="s">
        <v>701</v>
      </c>
      <c r="B124" s="20" t="s">
        <v>1676</v>
      </c>
      <c r="C124" s="21">
        <v>2</v>
      </c>
      <c r="D124" s="22">
        <v>5</v>
      </c>
      <c r="E124" s="23" t="s">
        <v>671</v>
      </c>
      <c r="F124" s="22">
        <v>4</v>
      </c>
      <c r="G124" s="23" t="s">
        <v>29</v>
      </c>
      <c r="H124" s="23" t="s">
        <v>30</v>
      </c>
      <c r="I124" s="22"/>
      <c r="J124" s="22"/>
      <c r="K124" s="22"/>
      <c r="L124" s="22"/>
      <c r="M124" s="23" t="s">
        <v>483</v>
      </c>
    </row>
    <row r="125" spans="1:13" x14ac:dyDescent="0.25">
      <c r="A125" s="19" t="s">
        <v>701</v>
      </c>
      <c r="B125" s="20" t="s">
        <v>1651</v>
      </c>
      <c r="C125" s="21">
        <v>2</v>
      </c>
      <c r="D125" s="22">
        <v>3</v>
      </c>
      <c r="E125" s="23" t="s">
        <v>1690</v>
      </c>
      <c r="F125" s="22">
        <v>3</v>
      </c>
      <c r="G125" s="23" t="s">
        <v>29</v>
      </c>
      <c r="H125" s="23" t="s">
        <v>35</v>
      </c>
      <c r="I125" s="22"/>
      <c r="J125" s="22"/>
      <c r="K125" s="22"/>
      <c r="L125" s="22"/>
      <c r="M125" s="23" t="s">
        <v>632</v>
      </c>
    </row>
    <row r="126" spans="1:13" x14ac:dyDescent="0.25">
      <c r="A126" s="19" t="s">
        <v>96</v>
      </c>
      <c r="B126" s="25" t="s">
        <v>254</v>
      </c>
      <c r="C126" s="22">
        <v>2</v>
      </c>
      <c r="D126" s="22">
        <v>6</v>
      </c>
      <c r="E126" s="26" t="s">
        <v>105</v>
      </c>
      <c r="F126" s="22">
        <v>8</v>
      </c>
      <c r="G126" s="26" t="s">
        <v>32</v>
      </c>
      <c r="H126" s="26" t="s">
        <v>166</v>
      </c>
      <c r="I126" s="67"/>
      <c r="J126" s="67"/>
      <c r="K126" s="67">
        <v>4</v>
      </c>
      <c r="L126" s="67">
        <v>4</v>
      </c>
      <c r="M126" s="26" t="s">
        <v>255</v>
      </c>
    </row>
    <row r="127" spans="1:13" x14ac:dyDescent="0.25">
      <c r="A127" s="19" t="s">
        <v>96</v>
      </c>
      <c r="B127" s="25" t="s">
        <v>256</v>
      </c>
      <c r="C127" s="22">
        <v>2</v>
      </c>
      <c r="D127" s="22">
        <v>6</v>
      </c>
      <c r="E127" s="26" t="s">
        <v>106</v>
      </c>
      <c r="F127" s="22">
        <v>2</v>
      </c>
      <c r="G127" s="26" t="s">
        <v>32</v>
      </c>
      <c r="H127" s="26" t="s">
        <v>70</v>
      </c>
      <c r="I127" s="22"/>
      <c r="J127" s="22">
        <v>2</v>
      </c>
      <c r="K127" s="22">
        <v>2</v>
      </c>
      <c r="L127" s="22">
        <v>2</v>
      </c>
      <c r="M127" s="26" t="s">
        <v>169</v>
      </c>
    </row>
    <row r="128" spans="1:13" ht="30" x14ac:dyDescent="0.25">
      <c r="A128" s="19" t="s">
        <v>96</v>
      </c>
      <c r="B128" s="25" t="s">
        <v>257</v>
      </c>
      <c r="C128" s="22">
        <v>1</v>
      </c>
      <c r="D128" s="22">
        <v>6</v>
      </c>
      <c r="E128" s="26" t="s">
        <v>91</v>
      </c>
      <c r="F128" s="22">
        <v>1</v>
      </c>
      <c r="G128" s="26" t="s">
        <v>32</v>
      </c>
      <c r="H128" s="26" t="s">
        <v>35</v>
      </c>
      <c r="I128" s="22"/>
      <c r="J128" s="22"/>
      <c r="K128" s="22"/>
      <c r="L128" s="22"/>
      <c r="M128" s="26" t="s">
        <v>171</v>
      </c>
    </row>
    <row r="129" spans="1:13" x14ac:dyDescent="0.25">
      <c r="A129" s="19" t="s">
        <v>96</v>
      </c>
      <c r="B129" s="25" t="s">
        <v>258</v>
      </c>
      <c r="C129" s="22">
        <v>2</v>
      </c>
      <c r="D129" s="22">
        <v>6</v>
      </c>
      <c r="E129" s="26" t="s">
        <v>92</v>
      </c>
      <c r="F129" s="22">
        <v>0</v>
      </c>
      <c r="G129" s="26" t="s">
        <v>32</v>
      </c>
      <c r="H129" s="26" t="s">
        <v>35</v>
      </c>
      <c r="I129" s="22"/>
      <c r="J129" s="22"/>
      <c r="K129" s="22"/>
      <c r="L129" s="22"/>
      <c r="M129" s="26" t="s">
        <v>201</v>
      </c>
    </row>
    <row r="130" spans="1:13" x14ac:dyDescent="0.25">
      <c r="A130" s="19" t="s">
        <v>96</v>
      </c>
      <c r="B130" s="25" t="s">
        <v>259</v>
      </c>
      <c r="C130" s="22">
        <v>1</v>
      </c>
      <c r="D130" s="22">
        <v>6</v>
      </c>
      <c r="E130" s="26" t="s">
        <v>107</v>
      </c>
      <c r="F130" s="22">
        <v>8</v>
      </c>
      <c r="G130" s="26" t="s">
        <v>32</v>
      </c>
      <c r="H130" s="26" t="s">
        <v>30</v>
      </c>
      <c r="I130" s="22"/>
      <c r="J130" s="22"/>
      <c r="K130" s="22"/>
      <c r="L130" s="22"/>
      <c r="M130" s="26" t="s">
        <v>231</v>
      </c>
    </row>
    <row r="131" spans="1:13" x14ac:dyDescent="0.25">
      <c r="A131" s="19" t="s">
        <v>96</v>
      </c>
      <c r="B131" s="25" t="s">
        <v>260</v>
      </c>
      <c r="C131" s="22">
        <v>1</v>
      </c>
      <c r="D131" s="22">
        <v>6</v>
      </c>
      <c r="E131" s="26" t="s">
        <v>108</v>
      </c>
      <c r="F131" s="22"/>
      <c r="G131" s="26" t="s">
        <v>26</v>
      </c>
      <c r="H131" s="26" t="s">
        <v>22</v>
      </c>
      <c r="I131" s="22">
        <v>6</v>
      </c>
      <c r="J131" s="22">
        <v>3</v>
      </c>
      <c r="K131" s="22">
        <v>3</v>
      </c>
      <c r="L131" s="22"/>
      <c r="M131" s="26" t="s">
        <v>261</v>
      </c>
    </row>
    <row r="132" spans="1:13" x14ac:dyDescent="0.25">
      <c r="A132" s="19" t="s">
        <v>96</v>
      </c>
      <c r="B132" s="25" t="s">
        <v>262</v>
      </c>
      <c r="C132" s="22">
        <v>1</v>
      </c>
      <c r="D132" s="22">
        <v>6</v>
      </c>
      <c r="E132" s="26" t="s">
        <v>109</v>
      </c>
      <c r="F132" s="22"/>
      <c r="G132" s="26" t="s">
        <v>32</v>
      </c>
      <c r="H132" s="26" t="s">
        <v>70</v>
      </c>
      <c r="I132" s="22"/>
      <c r="J132" s="22">
        <v>3</v>
      </c>
      <c r="K132" s="22">
        <v>3</v>
      </c>
      <c r="L132" s="22"/>
      <c r="M132" s="26" t="s">
        <v>263</v>
      </c>
    </row>
    <row r="133" spans="1:13" x14ac:dyDescent="0.25">
      <c r="A133" s="19" t="s">
        <v>121</v>
      </c>
      <c r="B133" s="25" t="s">
        <v>207</v>
      </c>
      <c r="C133" s="22">
        <v>2</v>
      </c>
      <c r="D133" s="22">
        <v>6</v>
      </c>
      <c r="E133" s="26" t="s">
        <v>122</v>
      </c>
      <c r="F133" s="22">
        <v>1</v>
      </c>
      <c r="G133" s="26" t="s">
        <v>26</v>
      </c>
      <c r="H133" s="26" t="s">
        <v>22</v>
      </c>
      <c r="I133" s="22">
        <v>6</v>
      </c>
      <c r="J133" s="22">
        <v>2</v>
      </c>
      <c r="K133" s="22"/>
      <c r="L133" s="22">
        <v>2</v>
      </c>
      <c r="M133" s="26"/>
    </row>
    <row r="134" spans="1:13" ht="30" x14ac:dyDescent="0.25">
      <c r="A134" s="19" t="s">
        <v>121</v>
      </c>
      <c r="B134" s="25" t="s">
        <v>208</v>
      </c>
      <c r="C134" s="22">
        <v>2</v>
      </c>
      <c r="D134" s="22">
        <v>6</v>
      </c>
      <c r="E134" s="26" t="s">
        <v>123</v>
      </c>
      <c r="F134" s="22">
        <v>8</v>
      </c>
      <c r="G134" s="26" t="s">
        <v>21</v>
      </c>
      <c r="H134" s="26" t="s">
        <v>146</v>
      </c>
      <c r="I134" s="67">
        <v>7</v>
      </c>
      <c r="J134" s="67"/>
      <c r="K134" s="67"/>
      <c r="L134" s="67"/>
      <c r="M134" s="26" t="s">
        <v>209</v>
      </c>
    </row>
    <row r="135" spans="1:13" x14ac:dyDescent="0.25">
      <c r="A135" s="19" t="s">
        <v>121</v>
      </c>
      <c r="B135" s="25" t="s">
        <v>210</v>
      </c>
      <c r="C135" s="22">
        <v>3</v>
      </c>
      <c r="D135" s="22">
        <v>6</v>
      </c>
      <c r="E135" s="26" t="s">
        <v>124</v>
      </c>
      <c r="F135" s="22">
        <v>2</v>
      </c>
      <c r="G135" s="26" t="s">
        <v>26</v>
      </c>
      <c r="H135" s="26" t="s">
        <v>41</v>
      </c>
      <c r="I135" s="22">
        <v>6</v>
      </c>
      <c r="J135" s="22"/>
      <c r="K135" s="22"/>
      <c r="L135" s="22"/>
      <c r="M135" s="26" t="s">
        <v>211</v>
      </c>
    </row>
    <row r="136" spans="1:13" ht="30" x14ac:dyDescent="0.25">
      <c r="A136" s="19" t="s">
        <v>121</v>
      </c>
      <c r="B136" s="25" t="s">
        <v>212</v>
      </c>
      <c r="C136" s="22">
        <v>2</v>
      </c>
      <c r="D136" s="22">
        <v>6</v>
      </c>
      <c r="E136" s="26" t="s">
        <v>125</v>
      </c>
      <c r="F136" s="22">
        <v>4</v>
      </c>
      <c r="G136" s="26" t="s">
        <v>21</v>
      </c>
      <c r="H136" s="26" t="s">
        <v>24</v>
      </c>
      <c r="I136" s="22">
        <v>5</v>
      </c>
      <c r="J136" s="22"/>
      <c r="K136" s="22"/>
      <c r="L136" s="22"/>
      <c r="M136" s="26" t="s">
        <v>1697</v>
      </c>
    </row>
    <row r="137" spans="1:13" x14ac:dyDescent="0.25">
      <c r="A137" s="19" t="s">
        <v>121</v>
      </c>
      <c r="B137" s="25" t="s">
        <v>213</v>
      </c>
      <c r="C137" s="22">
        <v>2</v>
      </c>
      <c r="D137" s="22">
        <v>6</v>
      </c>
      <c r="E137" s="26" t="s">
        <v>126</v>
      </c>
      <c r="F137" s="22">
        <v>5</v>
      </c>
      <c r="G137" s="26" t="s">
        <v>21</v>
      </c>
      <c r="H137" s="26" t="s">
        <v>23</v>
      </c>
      <c r="I137" s="22">
        <v>6</v>
      </c>
      <c r="J137" s="22"/>
      <c r="K137" s="22"/>
      <c r="L137" s="22"/>
      <c r="M137" s="26" t="s">
        <v>214</v>
      </c>
    </row>
    <row r="138" spans="1:13" ht="30" x14ac:dyDescent="0.25">
      <c r="A138" s="19" t="s">
        <v>121</v>
      </c>
      <c r="B138" s="25" t="s">
        <v>215</v>
      </c>
      <c r="C138" s="22">
        <v>1</v>
      </c>
      <c r="D138" s="22">
        <v>6</v>
      </c>
      <c r="E138" s="26" t="s">
        <v>127</v>
      </c>
      <c r="F138" s="22">
        <v>7</v>
      </c>
      <c r="G138" s="26" t="s">
        <v>21</v>
      </c>
      <c r="H138" s="26" t="s">
        <v>23</v>
      </c>
      <c r="I138" s="22">
        <v>3</v>
      </c>
      <c r="J138" s="22"/>
      <c r="K138" s="22"/>
      <c r="L138" s="22"/>
      <c r="M138" s="26" t="s">
        <v>216</v>
      </c>
    </row>
    <row r="139" spans="1:13" x14ac:dyDescent="0.25">
      <c r="A139" s="19" t="s">
        <v>121</v>
      </c>
      <c r="B139" s="25" t="s">
        <v>217</v>
      </c>
      <c r="C139" s="22">
        <v>1</v>
      </c>
      <c r="D139" s="22">
        <v>6</v>
      </c>
      <c r="E139" s="26" t="s">
        <v>128</v>
      </c>
      <c r="F139" s="22">
        <v>7</v>
      </c>
      <c r="G139" s="26" t="s">
        <v>26</v>
      </c>
      <c r="H139" s="26" t="s">
        <v>23</v>
      </c>
      <c r="I139" s="22">
        <v>3</v>
      </c>
      <c r="J139" s="22"/>
      <c r="K139" s="22"/>
      <c r="L139" s="22"/>
      <c r="M139" s="26" t="s">
        <v>218</v>
      </c>
    </row>
    <row r="140" spans="1:13" x14ac:dyDescent="0.25">
      <c r="A140" s="19" t="s">
        <v>521</v>
      </c>
      <c r="B140" s="25" t="s">
        <v>481</v>
      </c>
      <c r="C140" s="22">
        <v>2</v>
      </c>
      <c r="D140" s="22">
        <v>5</v>
      </c>
      <c r="E140" s="26" t="s">
        <v>482</v>
      </c>
      <c r="F140" s="22">
        <v>4</v>
      </c>
      <c r="G140" s="26" t="s">
        <v>29</v>
      </c>
      <c r="H140" s="26" t="s">
        <v>30</v>
      </c>
      <c r="I140" s="22"/>
      <c r="J140" s="22"/>
      <c r="K140" s="22"/>
      <c r="L140" s="22"/>
      <c r="M140" s="26" t="s">
        <v>483</v>
      </c>
    </row>
    <row r="141" spans="1:13" x14ac:dyDescent="0.25">
      <c r="A141" s="19" t="s">
        <v>521</v>
      </c>
      <c r="B141" s="25" t="s">
        <v>405</v>
      </c>
      <c r="C141" s="22">
        <v>1</v>
      </c>
      <c r="D141" s="22">
        <v>3</v>
      </c>
      <c r="E141" s="26" t="s">
        <v>406</v>
      </c>
      <c r="F141" s="22">
        <v>0</v>
      </c>
      <c r="G141" s="26" t="s">
        <v>29</v>
      </c>
      <c r="H141" s="26" t="s">
        <v>35</v>
      </c>
      <c r="I141" s="22"/>
      <c r="J141" s="22"/>
      <c r="K141" s="22"/>
      <c r="L141" s="22"/>
      <c r="M141" s="26" t="s">
        <v>1249</v>
      </c>
    </row>
    <row r="142" spans="1:13" x14ac:dyDescent="0.25">
      <c r="A142" s="19" t="s">
        <v>79</v>
      </c>
      <c r="B142" s="25" t="s">
        <v>195</v>
      </c>
      <c r="C142" s="22">
        <v>2</v>
      </c>
      <c r="D142" s="22">
        <v>6</v>
      </c>
      <c r="E142" s="26" t="s">
        <v>88</v>
      </c>
      <c r="F142" s="22">
        <v>4</v>
      </c>
      <c r="G142" s="26" t="s">
        <v>29</v>
      </c>
      <c r="H142" s="26" t="s">
        <v>30</v>
      </c>
      <c r="I142" s="22"/>
      <c r="J142" s="22"/>
      <c r="K142" s="22"/>
      <c r="L142" s="22"/>
      <c r="M142" s="26" t="s">
        <v>160</v>
      </c>
    </row>
    <row r="143" spans="1:13" x14ac:dyDescent="0.25">
      <c r="A143" s="19" t="s">
        <v>121</v>
      </c>
      <c r="B143" s="25" t="s">
        <v>224</v>
      </c>
      <c r="C143" s="22">
        <v>2</v>
      </c>
      <c r="D143" s="22">
        <v>6</v>
      </c>
      <c r="E143" s="26" t="s">
        <v>131</v>
      </c>
      <c r="F143" s="22">
        <v>8</v>
      </c>
      <c r="G143" s="26" t="s">
        <v>32</v>
      </c>
      <c r="H143" s="26" t="s">
        <v>225</v>
      </c>
      <c r="I143" s="67"/>
      <c r="J143" s="67">
        <v>5</v>
      </c>
      <c r="K143" s="67">
        <v>5</v>
      </c>
      <c r="L143" s="67"/>
      <c r="M143" s="26" t="s">
        <v>226</v>
      </c>
    </row>
    <row r="144" spans="1:13" x14ac:dyDescent="0.25">
      <c r="A144" s="19" t="s">
        <v>121</v>
      </c>
      <c r="B144" s="25" t="s">
        <v>227</v>
      </c>
      <c r="C144" s="22">
        <v>2</v>
      </c>
      <c r="D144" s="22">
        <v>6</v>
      </c>
      <c r="E144" s="26" t="s">
        <v>132</v>
      </c>
      <c r="F144" s="22">
        <v>2</v>
      </c>
      <c r="G144" s="26" t="s">
        <v>32</v>
      </c>
      <c r="H144" s="26" t="s">
        <v>70</v>
      </c>
      <c r="I144" s="22"/>
      <c r="J144" s="22">
        <v>2</v>
      </c>
      <c r="K144" s="22">
        <v>3</v>
      </c>
      <c r="L144" s="22">
        <v>1</v>
      </c>
      <c r="M144" s="26" t="s">
        <v>169</v>
      </c>
    </row>
    <row r="145" spans="1:13" ht="30" x14ac:dyDescent="0.25">
      <c r="A145" s="19" t="s">
        <v>121</v>
      </c>
      <c r="B145" s="25" t="s">
        <v>228</v>
      </c>
      <c r="C145" s="22">
        <v>1</v>
      </c>
      <c r="D145" s="22">
        <v>6</v>
      </c>
      <c r="E145" s="26" t="s">
        <v>91</v>
      </c>
      <c r="F145" s="22">
        <v>1</v>
      </c>
      <c r="G145" s="26" t="s">
        <v>32</v>
      </c>
      <c r="H145" s="26" t="s">
        <v>35</v>
      </c>
      <c r="I145" s="22"/>
      <c r="J145" s="22"/>
      <c r="K145" s="22"/>
      <c r="L145" s="22"/>
      <c r="M145" s="26" t="s">
        <v>171</v>
      </c>
    </row>
    <row r="146" spans="1:13" x14ac:dyDescent="0.25">
      <c r="A146" s="19" t="s">
        <v>121</v>
      </c>
      <c r="B146" s="25" t="s">
        <v>229</v>
      </c>
      <c r="C146" s="22">
        <v>2</v>
      </c>
      <c r="D146" s="22">
        <v>6</v>
      </c>
      <c r="E146" s="26" t="s">
        <v>119</v>
      </c>
      <c r="F146" s="22">
        <v>0</v>
      </c>
      <c r="G146" s="26" t="s">
        <v>32</v>
      </c>
      <c r="H146" s="26" t="s">
        <v>35</v>
      </c>
      <c r="I146" s="22"/>
      <c r="J146" s="22"/>
      <c r="K146" s="22"/>
      <c r="L146" s="22"/>
      <c r="M146" s="26" t="s">
        <v>173</v>
      </c>
    </row>
    <row r="147" spans="1:13" x14ac:dyDescent="0.25">
      <c r="A147" s="19" t="s">
        <v>121</v>
      </c>
      <c r="B147" s="25" t="s">
        <v>230</v>
      </c>
      <c r="C147" s="22">
        <v>1</v>
      </c>
      <c r="D147" s="22">
        <v>6</v>
      </c>
      <c r="E147" s="26" t="s">
        <v>107</v>
      </c>
      <c r="F147" s="22">
        <v>8</v>
      </c>
      <c r="G147" s="26" t="s">
        <v>32</v>
      </c>
      <c r="H147" s="26" t="s">
        <v>30</v>
      </c>
      <c r="I147" s="22"/>
      <c r="J147" s="22"/>
      <c r="K147" s="22"/>
      <c r="L147" s="22"/>
      <c r="M147" s="26" t="s">
        <v>231</v>
      </c>
    </row>
    <row r="148" spans="1:13" x14ac:dyDescent="0.25">
      <c r="A148" s="19" t="s">
        <v>121</v>
      </c>
      <c r="B148" s="25" t="s">
        <v>232</v>
      </c>
      <c r="C148" s="22">
        <v>1</v>
      </c>
      <c r="D148" s="22" t="s">
        <v>1710</v>
      </c>
      <c r="E148" s="26" t="s">
        <v>133</v>
      </c>
      <c r="F148" s="22"/>
      <c r="G148" s="26" t="s">
        <v>21</v>
      </c>
      <c r="H148" s="26" t="s">
        <v>149</v>
      </c>
      <c r="I148" s="22">
        <v>6</v>
      </c>
      <c r="J148" s="22"/>
      <c r="K148" s="22"/>
      <c r="L148" s="22"/>
      <c r="M148" s="26" t="s">
        <v>214</v>
      </c>
    </row>
    <row r="149" spans="1:13" ht="30" x14ac:dyDescent="0.25">
      <c r="A149" s="19" t="s">
        <v>121</v>
      </c>
      <c r="B149" s="25" t="s">
        <v>233</v>
      </c>
      <c r="C149" s="22">
        <v>1</v>
      </c>
      <c r="D149" s="22" t="s">
        <v>1710</v>
      </c>
      <c r="E149" s="26" t="s">
        <v>134</v>
      </c>
      <c r="F149" s="22"/>
      <c r="G149" s="26" t="s">
        <v>29</v>
      </c>
      <c r="H149" s="26" t="s">
        <v>35</v>
      </c>
      <c r="I149" s="22"/>
      <c r="J149" s="22"/>
      <c r="K149" s="22"/>
      <c r="L149" s="22"/>
      <c r="M149" s="26" t="s">
        <v>234</v>
      </c>
    </row>
    <row r="150" spans="1:13" x14ac:dyDescent="0.25">
      <c r="A150" s="19" t="s">
        <v>521</v>
      </c>
      <c r="B150" s="25" t="s">
        <v>314</v>
      </c>
      <c r="C150" s="22">
        <v>2</v>
      </c>
      <c r="D150" s="22">
        <v>1</v>
      </c>
      <c r="E150" s="26" t="s">
        <v>315</v>
      </c>
      <c r="F150" s="22">
        <v>1</v>
      </c>
      <c r="G150" s="26" t="s">
        <v>26</v>
      </c>
      <c r="H150" s="26" t="s">
        <v>22</v>
      </c>
      <c r="I150" s="22">
        <v>3</v>
      </c>
      <c r="J150" s="22">
        <v>1</v>
      </c>
      <c r="K150" s="22"/>
      <c r="L150" s="22">
        <v>1</v>
      </c>
      <c r="M150" s="26"/>
    </row>
    <row r="151" spans="1:13" x14ac:dyDescent="0.25">
      <c r="A151" s="19" t="s">
        <v>521</v>
      </c>
      <c r="B151" s="25" t="s">
        <v>316</v>
      </c>
      <c r="C151" s="22">
        <v>2</v>
      </c>
      <c r="D151" s="22">
        <v>1</v>
      </c>
      <c r="E151" s="26" t="s">
        <v>317</v>
      </c>
      <c r="F151" s="22">
        <v>2</v>
      </c>
      <c r="G151" s="26" t="s">
        <v>26</v>
      </c>
      <c r="H151" s="26" t="s">
        <v>298</v>
      </c>
      <c r="I151" s="22">
        <v>3</v>
      </c>
      <c r="J151" s="22"/>
      <c r="K151" s="22"/>
      <c r="L151" s="22"/>
      <c r="M151" s="26" t="s">
        <v>318</v>
      </c>
    </row>
    <row r="152" spans="1:13" ht="30" x14ac:dyDescent="0.25">
      <c r="A152" s="19" t="s">
        <v>521</v>
      </c>
      <c r="B152" s="25" t="s">
        <v>319</v>
      </c>
      <c r="C152" s="22">
        <v>1</v>
      </c>
      <c r="D152" s="22">
        <v>1</v>
      </c>
      <c r="E152" s="26" t="s">
        <v>320</v>
      </c>
      <c r="F152" s="22">
        <v>7</v>
      </c>
      <c r="G152" s="26" t="s">
        <v>26</v>
      </c>
      <c r="H152" s="26" t="s">
        <v>41</v>
      </c>
      <c r="I152" s="22">
        <v>5</v>
      </c>
      <c r="J152" s="22"/>
      <c r="K152" s="22"/>
      <c r="L152" s="22"/>
      <c r="M152" s="26" t="s">
        <v>321</v>
      </c>
    </row>
    <row r="153" spans="1:13" x14ac:dyDescent="0.25">
      <c r="A153" s="19" t="s">
        <v>521</v>
      </c>
      <c r="B153" s="25" t="s">
        <v>322</v>
      </c>
      <c r="C153" s="22">
        <v>2</v>
      </c>
      <c r="D153" s="22">
        <v>1</v>
      </c>
      <c r="E153" s="26" t="s">
        <v>323</v>
      </c>
      <c r="F153" s="22">
        <v>3</v>
      </c>
      <c r="G153" s="26" t="s">
        <v>21</v>
      </c>
      <c r="H153" s="26" t="s">
        <v>24</v>
      </c>
      <c r="I153" s="22">
        <v>3</v>
      </c>
      <c r="J153" s="22"/>
      <c r="K153" s="22"/>
      <c r="L153" s="22"/>
      <c r="M153" s="26" t="s">
        <v>324</v>
      </c>
    </row>
    <row r="154" spans="1:13" x14ac:dyDescent="0.25">
      <c r="A154" s="19" t="s">
        <v>521</v>
      </c>
      <c r="B154" s="25" t="s">
        <v>325</v>
      </c>
      <c r="C154" s="22">
        <v>2</v>
      </c>
      <c r="D154" s="22">
        <v>1</v>
      </c>
      <c r="E154" s="26" t="s">
        <v>326</v>
      </c>
      <c r="F154" s="22">
        <v>3</v>
      </c>
      <c r="G154" s="26" t="s">
        <v>21</v>
      </c>
      <c r="H154" s="26" t="s">
        <v>149</v>
      </c>
      <c r="I154" s="22">
        <v>3</v>
      </c>
      <c r="J154" s="22"/>
      <c r="K154" s="22"/>
      <c r="L154" s="22"/>
      <c r="M154" s="26" t="s">
        <v>150</v>
      </c>
    </row>
    <row r="155" spans="1:13" x14ac:dyDescent="0.25">
      <c r="A155" s="19" t="s">
        <v>521</v>
      </c>
      <c r="B155" s="25" t="s">
        <v>327</v>
      </c>
      <c r="C155" s="22">
        <v>1</v>
      </c>
      <c r="D155" s="22">
        <v>1</v>
      </c>
      <c r="E155" s="26" t="s">
        <v>328</v>
      </c>
      <c r="F155" s="22">
        <v>5</v>
      </c>
      <c r="G155" s="26" t="s">
        <v>21</v>
      </c>
      <c r="H155" s="26" t="s">
        <v>23</v>
      </c>
      <c r="I155" s="22">
        <v>4</v>
      </c>
      <c r="J155" s="22"/>
      <c r="K155" s="22"/>
      <c r="L155" s="22"/>
      <c r="M155" s="26" t="s">
        <v>329</v>
      </c>
    </row>
    <row r="156" spans="1:13" ht="30" x14ac:dyDescent="0.25">
      <c r="A156" s="19" t="s">
        <v>521</v>
      </c>
      <c r="B156" s="25" t="s">
        <v>330</v>
      </c>
      <c r="C156" s="22">
        <v>1</v>
      </c>
      <c r="D156" s="22">
        <v>1</v>
      </c>
      <c r="E156" s="26" t="s">
        <v>331</v>
      </c>
      <c r="F156" s="22">
        <v>4</v>
      </c>
      <c r="G156" s="26" t="s">
        <v>21</v>
      </c>
      <c r="H156" s="26" t="s">
        <v>23</v>
      </c>
      <c r="I156" s="22">
        <v>1</v>
      </c>
      <c r="J156" s="22"/>
      <c r="K156" s="22"/>
      <c r="L156" s="22"/>
      <c r="M156" s="26" t="s">
        <v>216</v>
      </c>
    </row>
    <row r="157" spans="1:13" x14ac:dyDescent="0.25">
      <c r="A157" s="19" t="s">
        <v>521</v>
      </c>
      <c r="B157" s="25" t="s">
        <v>332</v>
      </c>
      <c r="C157" s="22">
        <v>2</v>
      </c>
      <c r="D157" s="22">
        <v>1</v>
      </c>
      <c r="E157" s="26" t="s">
        <v>333</v>
      </c>
      <c r="F157" s="22">
        <v>2</v>
      </c>
      <c r="G157" s="26" t="s">
        <v>21</v>
      </c>
      <c r="H157" s="26" t="s">
        <v>23</v>
      </c>
      <c r="I157" s="22">
        <v>3</v>
      </c>
      <c r="J157" s="22"/>
      <c r="K157" s="22"/>
      <c r="L157" s="22"/>
      <c r="M157" s="26" t="s">
        <v>334</v>
      </c>
    </row>
    <row r="158" spans="1:13" x14ac:dyDescent="0.25">
      <c r="A158" s="19" t="s">
        <v>96</v>
      </c>
      <c r="B158" s="25" t="s">
        <v>249</v>
      </c>
      <c r="C158" s="22">
        <v>1</v>
      </c>
      <c r="D158" s="22">
        <v>6</v>
      </c>
      <c r="E158" s="26" t="s">
        <v>102</v>
      </c>
      <c r="F158" s="22">
        <v>4</v>
      </c>
      <c r="G158" s="26" t="s">
        <v>29</v>
      </c>
      <c r="H158" s="26" t="s">
        <v>30</v>
      </c>
      <c r="I158" s="22"/>
      <c r="J158" s="22"/>
      <c r="K158" s="22"/>
      <c r="L158" s="22"/>
      <c r="M158" s="26" t="s">
        <v>160</v>
      </c>
    </row>
    <row r="159" spans="1:13" ht="30" x14ac:dyDescent="0.25">
      <c r="A159" s="19" t="s">
        <v>521</v>
      </c>
      <c r="B159" s="25" t="s">
        <v>407</v>
      </c>
      <c r="C159" s="22">
        <v>1</v>
      </c>
      <c r="D159" s="22">
        <v>3</v>
      </c>
      <c r="E159" s="26" t="s">
        <v>408</v>
      </c>
      <c r="F159" s="22">
        <v>4</v>
      </c>
      <c r="G159" s="26" t="s">
        <v>29</v>
      </c>
      <c r="H159" s="26" t="s">
        <v>35</v>
      </c>
      <c r="I159" s="22"/>
      <c r="J159" s="22"/>
      <c r="K159" s="22"/>
      <c r="L159" s="22"/>
      <c r="M159" s="26" t="s">
        <v>1701</v>
      </c>
    </row>
    <row r="160" spans="1:13" x14ac:dyDescent="0.25">
      <c r="A160" s="19" t="s">
        <v>521</v>
      </c>
      <c r="B160" s="25" t="s">
        <v>341</v>
      </c>
      <c r="C160" s="22">
        <v>2</v>
      </c>
      <c r="D160" s="22">
        <v>1</v>
      </c>
      <c r="E160" s="26" t="s">
        <v>342</v>
      </c>
      <c r="F160" s="22">
        <v>1</v>
      </c>
      <c r="G160" s="26" t="s">
        <v>32</v>
      </c>
      <c r="H160" s="26" t="s">
        <v>48</v>
      </c>
      <c r="I160" s="22"/>
      <c r="J160" s="22">
        <v>1</v>
      </c>
      <c r="K160" s="22"/>
      <c r="L160" s="22"/>
      <c r="M160" s="26" t="s">
        <v>343</v>
      </c>
    </row>
    <row r="161" spans="1:13" x14ac:dyDescent="0.25">
      <c r="A161" s="19" t="s">
        <v>521</v>
      </c>
      <c r="B161" s="25" t="s">
        <v>344</v>
      </c>
      <c r="C161" s="22">
        <v>2</v>
      </c>
      <c r="D161" s="22">
        <v>1</v>
      </c>
      <c r="E161" s="26" t="s">
        <v>345</v>
      </c>
      <c r="F161" s="22">
        <v>0</v>
      </c>
      <c r="G161" s="26" t="s">
        <v>32</v>
      </c>
      <c r="H161" s="26" t="s">
        <v>30</v>
      </c>
      <c r="I161" s="22"/>
      <c r="J161" s="22"/>
      <c r="K161" s="22">
        <v>1</v>
      </c>
      <c r="L161" s="22">
        <v>1</v>
      </c>
      <c r="M161" s="26" t="s">
        <v>346</v>
      </c>
    </row>
    <row r="162" spans="1:13" ht="30" x14ac:dyDescent="0.25">
      <c r="A162" s="19" t="s">
        <v>521</v>
      </c>
      <c r="B162" s="25" t="s">
        <v>347</v>
      </c>
      <c r="C162" s="22">
        <v>2</v>
      </c>
      <c r="D162" s="22">
        <v>1</v>
      </c>
      <c r="E162" s="26" t="s">
        <v>348</v>
      </c>
      <c r="F162" s="22">
        <v>5</v>
      </c>
      <c r="G162" s="26" t="s">
        <v>32</v>
      </c>
      <c r="H162" s="26" t="s">
        <v>9</v>
      </c>
      <c r="I162" s="22"/>
      <c r="J162" s="22"/>
      <c r="K162" s="22"/>
      <c r="L162" s="22"/>
      <c r="M162" s="26" t="s">
        <v>349</v>
      </c>
    </row>
    <row r="163" spans="1:13" ht="30" x14ac:dyDescent="0.25">
      <c r="A163" s="19" t="s">
        <v>521</v>
      </c>
      <c r="B163" s="25" t="s">
        <v>350</v>
      </c>
      <c r="C163" s="22">
        <v>2</v>
      </c>
      <c r="D163" s="22">
        <v>1</v>
      </c>
      <c r="E163" s="26" t="s">
        <v>351</v>
      </c>
      <c r="F163" s="22">
        <v>1</v>
      </c>
      <c r="G163" s="26" t="s">
        <v>32</v>
      </c>
      <c r="H163" s="26" t="s">
        <v>9</v>
      </c>
      <c r="I163" s="22"/>
      <c r="J163" s="22"/>
      <c r="K163" s="22"/>
      <c r="L163" s="22"/>
      <c r="M163" s="26" t="s">
        <v>352</v>
      </c>
    </row>
    <row r="164" spans="1:13" x14ac:dyDescent="0.25">
      <c r="A164" s="19" t="s">
        <v>521</v>
      </c>
      <c r="B164" s="25" t="s">
        <v>353</v>
      </c>
      <c r="C164" s="22">
        <v>2</v>
      </c>
      <c r="D164" s="22">
        <v>2</v>
      </c>
      <c r="E164" s="26" t="s">
        <v>354</v>
      </c>
      <c r="F164" s="22">
        <v>1</v>
      </c>
      <c r="G164" s="26" t="s">
        <v>26</v>
      </c>
      <c r="H164" s="26" t="s">
        <v>22</v>
      </c>
      <c r="I164" s="22">
        <v>4</v>
      </c>
      <c r="J164" s="22">
        <v>2</v>
      </c>
      <c r="K164" s="22"/>
      <c r="L164" s="22">
        <v>1</v>
      </c>
      <c r="M164" s="26"/>
    </row>
    <row r="165" spans="1:13" x14ac:dyDescent="0.25">
      <c r="A165" s="19" t="s">
        <v>521</v>
      </c>
      <c r="B165" s="25" t="s">
        <v>355</v>
      </c>
      <c r="C165" s="22">
        <v>2</v>
      </c>
      <c r="D165" s="22">
        <v>2</v>
      </c>
      <c r="E165" s="26" t="s">
        <v>356</v>
      </c>
      <c r="F165" s="22">
        <v>2</v>
      </c>
      <c r="G165" s="26" t="s">
        <v>26</v>
      </c>
      <c r="H165" s="26" t="s">
        <v>298</v>
      </c>
      <c r="I165" s="22">
        <v>4</v>
      </c>
      <c r="J165" s="22"/>
      <c r="K165" s="22"/>
      <c r="L165" s="22"/>
      <c r="M165" s="26" t="s">
        <v>334</v>
      </c>
    </row>
    <row r="166" spans="1:13" x14ac:dyDescent="0.25">
      <c r="A166" s="19" t="s">
        <v>521</v>
      </c>
      <c r="B166" s="25" t="s">
        <v>357</v>
      </c>
      <c r="C166" s="22">
        <v>2</v>
      </c>
      <c r="D166" s="22">
        <v>2</v>
      </c>
      <c r="E166" s="26" t="s">
        <v>358</v>
      </c>
      <c r="F166" s="22">
        <v>4</v>
      </c>
      <c r="G166" s="26" t="s">
        <v>26</v>
      </c>
      <c r="H166" s="26" t="s">
        <v>68</v>
      </c>
      <c r="I166" s="22">
        <v>4</v>
      </c>
      <c r="J166" s="22"/>
      <c r="K166" s="22"/>
      <c r="L166" s="22"/>
      <c r="M166" s="26" t="s">
        <v>305</v>
      </c>
    </row>
    <row r="167" spans="1:13" x14ac:dyDescent="0.25">
      <c r="A167" s="19" t="s">
        <v>521</v>
      </c>
      <c r="B167" s="25" t="s">
        <v>359</v>
      </c>
      <c r="C167" s="22">
        <v>1</v>
      </c>
      <c r="D167" s="22">
        <v>2</v>
      </c>
      <c r="E167" s="26" t="s">
        <v>360</v>
      </c>
      <c r="F167" s="22">
        <v>7</v>
      </c>
      <c r="G167" s="26" t="s">
        <v>21</v>
      </c>
      <c r="H167" s="26" t="s">
        <v>24</v>
      </c>
      <c r="I167" s="22">
        <v>5</v>
      </c>
      <c r="J167" s="22"/>
      <c r="K167" s="22"/>
      <c r="L167" s="22"/>
      <c r="M167" s="26" t="s">
        <v>361</v>
      </c>
    </row>
    <row r="168" spans="1:13" x14ac:dyDescent="0.25">
      <c r="A168" s="19" t="s">
        <v>521</v>
      </c>
      <c r="B168" s="25" t="s">
        <v>362</v>
      </c>
      <c r="C168" s="22">
        <v>2</v>
      </c>
      <c r="D168" s="22">
        <v>2</v>
      </c>
      <c r="E168" s="26" t="s">
        <v>363</v>
      </c>
      <c r="F168" s="22">
        <v>5</v>
      </c>
      <c r="G168" s="26" t="s">
        <v>21</v>
      </c>
      <c r="H168" s="26" t="s">
        <v>24</v>
      </c>
      <c r="I168" s="22">
        <v>2</v>
      </c>
      <c r="J168" s="22"/>
      <c r="K168" s="22"/>
      <c r="L168" s="22"/>
      <c r="M168" s="26" t="s">
        <v>364</v>
      </c>
    </row>
    <row r="169" spans="1:13" ht="30" x14ac:dyDescent="0.25">
      <c r="A169" s="19" t="s">
        <v>521</v>
      </c>
      <c r="B169" s="25" t="s">
        <v>365</v>
      </c>
      <c r="C169" s="22">
        <v>2</v>
      </c>
      <c r="D169" s="22">
        <v>2</v>
      </c>
      <c r="E169" s="26" t="s">
        <v>366</v>
      </c>
      <c r="F169" s="22">
        <v>3</v>
      </c>
      <c r="G169" s="26" t="s">
        <v>26</v>
      </c>
      <c r="H169" s="26" t="s">
        <v>23</v>
      </c>
      <c r="I169" s="22">
        <v>4</v>
      </c>
      <c r="J169" s="22"/>
      <c r="K169" s="22"/>
      <c r="L169" s="22"/>
      <c r="M169" s="26" t="s">
        <v>1699</v>
      </c>
    </row>
    <row r="170" spans="1:13" x14ac:dyDescent="0.25">
      <c r="A170" s="19" t="s">
        <v>521</v>
      </c>
      <c r="B170" s="25" t="s">
        <v>367</v>
      </c>
      <c r="C170" s="22">
        <v>2</v>
      </c>
      <c r="D170" s="22">
        <v>2</v>
      </c>
      <c r="E170" s="26" t="s">
        <v>368</v>
      </c>
      <c r="F170" s="22">
        <v>4</v>
      </c>
      <c r="G170" s="26" t="s">
        <v>21</v>
      </c>
      <c r="H170" s="26" t="s">
        <v>23</v>
      </c>
      <c r="I170" s="22">
        <v>3</v>
      </c>
      <c r="J170" s="22"/>
      <c r="K170" s="22"/>
      <c r="L170" s="22"/>
      <c r="M170" s="26" t="s">
        <v>369</v>
      </c>
    </row>
    <row r="171" spans="1:13" x14ac:dyDescent="0.25">
      <c r="A171" s="19" t="s">
        <v>96</v>
      </c>
      <c r="B171" s="25" t="s">
        <v>250</v>
      </c>
      <c r="C171" s="22">
        <v>1</v>
      </c>
      <c r="D171" s="22">
        <v>6</v>
      </c>
      <c r="E171" s="26" t="s">
        <v>103</v>
      </c>
      <c r="F171" s="22">
        <v>3</v>
      </c>
      <c r="G171" s="26" t="s">
        <v>29</v>
      </c>
      <c r="H171" s="26" t="s">
        <v>30</v>
      </c>
      <c r="I171" s="22"/>
      <c r="J171" s="22"/>
      <c r="K171" s="22"/>
      <c r="L171" s="22"/>
      <c r="M171" s="26" t="s">
        <v>251</v>
      </c>
    </row>
    <row r="172" spans="1:13" x14ac:dyDescent="0.25">
      <c r="A172" s="19" t="s">
        <v>521</v>
      </c>
      <c r="B172" s="25" t="s">
        <v>373</v>
      </c>
      <c r="C172" s="22">
        <v>1</v>
      </c>
      <c r="D172" s="22">
        <v>2</v>
      </c>
      <c r="E172" s="26" t="s">
        <v>374</v>
      </c>
      <c r="F172" s="22">
        <v>3</v>
      </c>
      <c r="G172" s="26" t="s">
        <v>32</v>
      </c>
      <c r="H172" s="26" t="s">
        <v>48</v>
      </c>
      <c r="I172" s="22"/>
      <c r="J172" s="22">
        <v>2</v>
      </c>
      <c r="K172" s="22"/>
      <c r="L172" s="22">
        <v>1</v>
      </c>
      <c r="M172" s="26" t="s">
        <v>343</v>
      </c>
    </row>
    <row r="173" spans="1:13" x14ac:dyDescent="0.25">
      <c r="A173" s="19" t="s">
        <v>521</v>
      </c>
      <c r="B173" s="25" t="s">
        <v>375</v>
      </c>
      <c r="C173" s="22">
        <v>2</v>
      </c>
      <c r="D173" s="22">
        <v>2</v>
      </c>
      <c r="E173" s="26" t="s">
        <v>376</v>
      </c>
      <c r="F173" s="22">
        <v>6</v>
      </c>
      <c r="G173" s="26" t="s">
        <v>32</v>
      </c>
      <c r="H173" s="26" t="s">
        <v>70</v>
      </c>
      <c r="I173" s="22"/>
      <c r="J173" s="22">
        <v>2</v>
      </c>
      <c r="K173" s="22">
        <v>1</v>
      </c>
      <c r="L173" s="22"/>
      <c r="M173" s="26" t="s">
        <v>169</v>
      </c>
    </row>
    <row r="174" spans="1:13" x14ac:dyDescent="0.25">
      <c r="A174" s="19" t="s">
        <v>521</v>
      </c>
      <c r="B174" s="25" t="s">
        <v>377</v>
      </c>
      <c r="C174" s="22">
        <v>2</v>
      </c>
      <c r="D174" s="22">
        <v>2</v>
      </c>
      <c r="E174" s="26" t="s">
        <v>378</v>
      </c>
      <c r="F174" s="22">
        <v>1</v>
      </c>
      <c r="G174" s="26" t="s">
        <v>32</v>
      </c>
      <c r="H174" s="26" t="s">
        <v>9</v>
      </c>
      <c r="I174" s="22"/>
      <c r="J174" s="22"/>
      <c r="K174" s="22"/>
      <c r="L174" s="22"/>
      <c r="M174" s="26" t="s">
        <v>1248</v>
      </c>
    </row>
    <row r="175" spans="1:13" x14ac:dyDescent="0.25">
      <c r="A175" s="19" t="s">
        <v>521</v>
      </c>
      <c r="B175" s="25" t="s">
        <v>379</v>
      </c>
      <c r="C175" s="22">
        <v>2</v>
      </c>
      <c r="D175" s="22">
        <v>2</v>
      </c>
      <c r="E175" s="26" t="s">
        <v>380</v>
      </c>
      <c r="F175" s="22">
        <v>0</v>
      </c>
      <c r="G175" s="26" t="s">
        <v>32</v>
      </c>
      <c r="H175" s="26" t="s">
        <v>30</v>
      </c>
      <c r="I175" s="22"/>
      <c r="J175" s="22"/>
      <c r="K175" s="22"/>
      <c r="L175" s="22">
        <v>2</v>
      </c>
      <c r="M175" s="26" t="s">
        <v>381</v>
      </c>
    </row>
    <row r="176" spans="1:13" x14ac:dyDescent="0.25">
      <c r="A176" s="19" t="s">
        <v>521</v>
      </c>
      <c r="B176" s="25" t="s">
        <v>382</v>
      </c>
      <c r="C176" s="22">
        <v>1</v>
      </c>
      <c r="D176" s="22">
        <v>2</v>
      </c>
      <c r="E176" s="26" t="s">
        <v>383</v>
      </c>
      <c r="F176" s="22">
        <v>8</v>
      </c>
      <c r="G176" s="26" t="s">
        <v>32</v>
      </c>
      <c r="H176" s="26" t="s">
        <v>30</v>
      </c>
      <c r="I176" s="22"/>
      <c r="J176" s="22"/>
      <c r="K176" s="22"/>
      <c r="L176" s="22"/>
      <c r="M176" s="26" t="s">
        <v>384</v>
      </c>
    </row>
    <row r="177" spans="1:13" ht="30" x14ac:dyDescent="0.25">
      <c r="A177" s="19" t="s">
        <v>521</v>
      </c>
      <c r="B177" s="25" t="s">
        <v>385</v>
      </c>
      <c r="C177" s="22">
        <v>1</v>
      </c>
      <c r="D177" s="22">
        <v>2</v>
      </c>
      <c r="E177" s="26" t="s">
        <v>1700</v>
      </c>
      <c r="F177" s="22">
        <v>0</v>
      </c>
      <c r="G177" s="26" t="s">
        <v>32</v>
      </c>
      <c r="H177" s="26" t="s">
        <v>35</v>
      </c>
      <c r="I177" s="22"/>
      <c r="J177" s="22"/>
      <c r="K177" s="22"/>
      <c r="L177" s="22"/>
      <c r="M177" s="26" t="s">
        <v>386</v>
      </c>
    </row>
    <row r="178" spans="1:13" x14ac:dyDescent="0.25">
      <c r="A178" s="19" t="s">
        <v>521</v>
      </c>
      <c r="B178" s="25" t="s">
        <v>387</v>
      </c>
      <c r="C178" s="22">
        <v>2</v>
      </c>
      <c r="D178" s="22">
        <v>3</v>
      </c>
      <c r="E178" s="26" t="s">
        <v>388</v>
      </c>
      <c r="F178" s="22">
        <v>2</v>
      </c>
      <c r="G178" s="26" t="s">
        <v>26</v>
      </c>
      <c r="H178" s="26" t="s">
        <v>41</v>
      </c>
      <c r="I178" s="22">
        <v>4</v>
      </c>
      <c r="J178" s="22"/>
      <c r="K178" s="22"/>
      <c r="L178" s="22"/>
      <c r="M178" s="26" t="s">
        <v>389</v>
      </c>
    </row>
    <row r="179" spans="1:13" x14ac:dyDescent="0.25">
      <c r="A179" s="19" t="s">
        <v>521</v>
      </c>
      <c r="B179" s="25" t="s">
        <v>390</v>
      </c>
      <c r="C179" s="22">
        <v>2</v>
      </c>
      <c r="D179" s="22">
        <v>3</v>
      </c>
      <c r="E179" s="26" t="s">
        <v>391</v>
      </c>
      <c r="F179" s="22">
        <v>1</v>
      </c>
      <c r="G179" s="26" t="s">
        <v>26</v>
      </c>
      <c r="H179" s="26" t="s">
        <v>298</v>
      </c>
      <c r="I179" s="22">
        <v>4</v>
      </c>
      <c r="J179" s="22"/>
      <c r="K179" s="22"/>
      <c r="L179" s="22"/>
      <c r="M179" s="26" t="s">
        <v>318</v>
      </c>
    </row>
    <row r="180" spans="1:13" ht="30" x14ac:dyDescent="0.25">
      <c r="A180" s="19" t="s">
        <v>521</v>
      </c>
      <c r="B180" s="25" t="s">
        <v>392</v>
      </c>
      <c r="C180" s="22">
        <v>1</v>
      </c>
      <c r="D180" s="22">
        <v>3</v>
      </c>
      <c r="E180" s="26" t="s">
        <v>393</v>
      </c>
      <c r="F180" s="22">
        <v>7</v>
      </c>
      <c r="G180" s="26" t="s">
        <v>26</v>
      </c>
      <c r="H180" s="26" t="s">
        <v>41</v>
      </c>
      <c r="I180" s="22">
        <v>6</v>
      </c>
      <c r="J180" s="22"/>
      <c r="K180" s="22"/>
      <c r="L180" s="22"/>
      <c r="M180" s="26" t="s">
        <v>321</v>
      </c>
    </row>
    <row r="181" spans="1:13" x14ac:dyDescent="0.25">
      <c r="A181" s="19" t="s">
        <v>521</v>
      </c>
      <c r="B181" s="25" t="s">
        <v>394</v>
      </c>
      <c r="C181" s="22">
        <v>2</v>
      </c>
      <c r="D181" s="22">
        <v>3</v>
      </c>
      <c r="E181" s="26" t="s">
        <v>395</v>
      </c>
      <c r="F181" s="22">
        <v>3</v>
      </c>
      <c r="G181" s="26" t="s">
        <v>21</v>
      </c>
      <c r="H181" s="26" t="s">
        <v>24</v>
      </c>
      <c r="I181" s="22">
        <v>4</v>
      </c>
      <c r="J181" s="22"/>
      <c r="K181" s="22"/>
      <c r="L181" s="22"/>
      <c r="M181" s="26" t="s">
        <v>324</v>
      </c>
    </row>
    <row r="182" spans="1:13" x14ac:dyDescent="0.25">
      <c r="A182" s="19" t="s">
        <v>521</v>
      </c>
      <c r="B182" s="25" t="s">
        <v>396</v>
      </c>
      <c r="C182" s="22">
        <v>2</v>
      </c>
      <c r="D182" s="22">
        <v>3</v>
      </c>
      <c r="E182" s="26" t="s">
        <v>397</v>
      </c>
      <c r="F182" s="22">
        <v>3</v>
      </c>
      <c r="G182" s="26" t="s">
        <v>21</v>
      </c>
      <c r="H182" s="26" t="s">
        <v>149</v>
      </c>
      <c r="I182" s="22">
        <v>4</v>
      </c>
      <c r="J182" s="22"/>
      <c r="K182" s="22"/>
      <c r="L182" s="22"/>
      <c r="M182" s="26" t="s">
        <v>150</v>
      </c>
    </row>
    <row r="183" spans="1:13" ht="30" x14ac:dyDescent="0.25">
      <c r="A183" s="19" t="s">
        <v>521</v>
      </c>
      <c r="B183" s="25" t="s">
        <v>398</v>
      </c>
      <c r="C183" s="22">
        <v>2</v>
      </c>
      <c r="D183" s="22">
        <v>3</v>
      </c>
      <c r="E183" s="26" t="s">
        <v>399</v>
      </c>
      <c r="F183" s="22">
        <v>3</v>
      </c>
      <c r="G183" s="26" t="s">
        <v>21</v>
      </c>
      <c r="H183" s="26" t="s">
        <v>23</v>
      </c>
      <c r="I183" s="22">
        <v>4</v>
      </c>
      <c r="J183" s="22"/>
      <c r="K183" s="22"/>
      <c r="L183" s="22"/>
      <c r="M183" s="26" t="s">
        <v>310</v>
      </c>
    </row>
    <row r="184" spans="1:13" ht="30" x14ac:dyDescent="0.25">
      <c r="A184" s="19" t="s">
        <v>521</v>
      </c>
      <c r="B184" s="25" t="s">
        <v>400</v>
      </c>
      <c r="C184" s="22">
        <v>1</v>
      </c>
      <c r="D184" s="22">
        <v>3</v>
      </c>
      <c r="E184" s="26" t="s">
        <v>401</v>
      </c>
      <c r="F184" s="22">
        <v>4</v>
      </c>
      <c r="G184" s="26" t="s">
        <v>21</v>
      </c>
      <c r="H184" s="26" t="s">
        <v>23</v>
      </c>
      <c r="I184" s="22">
        <v>2</v>
      </c>
      <c r="J184" s="22"/>
      <c r="K184" s="22"/>
      <c r="L184" s="22"/>
      <c r="M184" s="26" t="s">
        <v>216</v>
      </c>
    </row>
    <row r="185" spans="1:13" x14ac:dyDescent="0.25">
      <c r="A185" s="19" t="s">
        <v>521</v>
      </c>
      <c r="B185" s="25" t="s">
        <v>402</v>
      </c>
      <c r="C185" s="22">
        <v>2</v>
      </c>
      <c r="D185" s="22">
        <v>3</v>
      </c>
      <c r="E185" s="26" t="s">
        <v>403</v>
      </c>
      <c r="F185" s="22">
        <v>4</v>
      </c>
      <c r="G185" s="26" t="s">
        <v>21</v>
      </c>
      <c r="H185" s="26" t="s">
        <v>23</v>
      </c>
      <c r="I185" s="22">
        <v>4</v>
      </c>
      <c r="J185" s="22"/>
      <c r="K185" s="22"/>
      <c r="L185" s="22"/>
      <c r="M185" s="26" t="s">
        <v>404</v>
      </c>
    </row>
    <row r="186" spans="1:13" x14ac:dyDescent="0.25">
      <c r="A186" s="19" t="s">
        <v>521</v>
      </c>
      <c r="B186" s="25" t="s">
        <v>409</v>
      </c>
      <c r="C186" s="22">
        <v>1</v>
      </c>
      <c r="D186" s="22">
        <v>3</v>
      </c>
      <c r="E186" s="26" t="s">
        <v>410</v>
      </c>
      <c r="F186" s="22">
        <v>3</v>
      </c>
      <c r="G186" s="26" t="s">
        <v>29</v>
      </c>
      <c r="H186" s="26" t="s">
        <v>35</v>
      </c>
      <c r="I186" s="22"/>
      <c r="J186" s="22"/>
      <c r="K186" s="22"/>
      <c r="L186" s="22"/>
      <c r="M186" s="27" t="s">
        <v>1250</v>
      </c>
    </row>
    <row r="187" spans="1:13" x14ac:dyDescent="0.25">
      <c r="A187" s="19" t="s">
        <v>701</v>
      </c>
      <c r="B187" s="20" t="s">
        <v>1660</v>
      </c>
      <c r="C187" s="21">
        <v>1</v>
      </c>
      <c r="D187" s="22">
        <v>4</v>
      </c>
      <c r="E187" s="23" t="s">
        <v>37</v>
      </c>
      <c r="F187" s="22">
        <v>2</v>
      </c>
      <c r="G187" s="23" t="s">
        <v>29</v>
      </c>
      <c r="H187" s="23" t="s">
        <v>35</v>
      </c>
      <c r="I187" s="22"/>
      <c r="J187" s="22"/>
      <c r="K187" s="22"/>
      <c r="L187" s="22"/>
      <c r="M187" s="23" t="s">
        <v>649</v>
      </c>
    </row>
    <row r="188" spans="1:13" x14ac:dyDescent="0.25">
      <c r="A188" s="19" t="s">
        <v>523</v>
      </c>
      <c r="B188" s="20" t="s">
        <v>555</v>
      </c>
      <c r="C188" s="21">
        <v>1</v>
      </c>
      <c r="D188" s="22">
        <v>4</v>
      </c>
      <c r="E188" s="23" t="s">
        <v>556</v>
      </c>
      <c r="F188" s="22">
        <v>4</v>
      </c>
      <c r="G188" s="23" t="s">
        <v>29</v>
      </c>
      <c r="H188" s="23" t="s">
        <v>35</v>
      </c>
      <c r="I188" s="22"/>
      <c r="J188" s="22"/>
      <c r="K188" s="22"/>
      <c r="L188" s="22"/>
      <c r="M188" s="23" t="s">
        <v>557</v>
      </c>
    </row>
    <row r="189" spans="1:13" x14ac:dyDescent="0.25">
      <c r="A189" s="19" t="s">
        <v>521</v>
      </c>
      <c r="B189" s="25" t="s">
        <v>411</v>
      </c>
      <c r="C189" s="22">
        <v>2</v>
      </c>
      <c r="D189" s="22">
        <v>3</v>
      </c>
      <c r="E189" s="26" t="s">
        <v>412</v>
      </c>
      <c r="F189" s="22">
        <v>6</v>
      </c>
      <c r="G189" s="26" t="s">
        <v>32</v>
      </c>
      <c r="H189" s="26" t="s">
        <v>48</v>
      </c>
      <c r="I189" s="22"/>
      <c r="J189" s="22">
        <v>4</v>
      </c>
      <c r="K189" s="22"/>
      <c r="L189" s="22">
        <v>1</v>
      </c>
      <c r="M189" s="26" t="s">
        <v>343</v>
      </c>
    </row>
    <row r="190" spans="1:13" x14ac:dyDescent="0.25">
      <c r="A190" s="19" t="s">
        <v>521</v>
      </c>
      <c r="B190" s="25" t="s">
        <v>413</v>
      </c>
      <c r="C190" s="22">
        <v>2</v>
      </c>
      <c r="D190" s="22">
        <v>3</v>
      </c>
      <c r="E190" s="26" t="s">
        <v>414</v>
      </c>
      <c r="F190" s="22">
        <v>0</v>
      </c>
      <c r="G190" s="26" t="s">
        <v>32</v>
      </c>
      <c r="H190" s="26" t="s">
        <v>30</v>
      </c>
      <c r="I190" s="22"/>
      <c r="J190" s="22"/>
      <c r="K190" s="22">
        <v>2</v>
      </c>
      <c r="L190" s="22">
        <v>2</v>
      </c>
      <c r="M190" s="26" t="s">
        <v>415</v>
      </c>
    </row>
    <row r="191" spans="1:13" x14ac:dyDescent="0.25">
      <c r="A191" s="19" t="s">
        <v>521</v>
      </c>
      <c r="B191" s="25" t="s">
        <v>416</v>
      </c>
      <c r="C191" s="22">
        <v>2</v>
      </c>
      <c r="D191" s="22">
        <v>3</v>
      </c>
      <c r="E191" s="26" t="s">
        <v>417</v>
      </c>
      <c r="F191" s="22">
        <v>4</v>
      </c>
      <c r="G191" s="26" t="s">
        <v>32</v>
      </c>
      <c r="H191" s="26" t="s">
        <v>9</v>
      </c>
      <c r="I191" s="22"/>
      <c r="J191" s="22"/>
      <c r="K191" s="22"/>
      <c r="L191" s="22"/>
      <c r="M191" s="26" t="s">
        <v>1702</v>
      </c>
    </row>
    <row r="192" spans="1:13" ht="30" x14ac:dyDescent="0.25">
      <c r="A192" s="19" t="s">
        <v>521</v>
      </c>
      <c r="B192" s="25" t="s">
        <v>418</v>
      </c>
      <c r="C192" s="22">
        <v>1</v>
      </c>
      <c r="D192" s="22">
        <v>3</v>
      </c>
      <c r="E192" s="26" t="s">
        <v>419</v>
      </c>
      <c r="F192" s="22">
        <v>7</v>
      </c>
      <c r="G192" s="26" t="s">
        <v>32</v>
      </c>
      <c r="H192" s="26" t="s">
        <v>35</v>
      </c>
      <c r="I192" s="22"/>
      <c r="J192" s="22"/>
      <c r="K192" s="22"/>
      <c r="L192" s="22"/>
      <c r="M192" s="26" t="s">
        <v>420</v>
      </c>
    </row>
    <row r="193" spans="1:13" x14ac:dyDescent="0.25">
      <c r="A193" s="19" t="s">
        <v>521</v>
      </c>
      <c r="B193" s="25" t="s">
        <v>421</v>
      </c>
      <c r="C193" s="22">
        <v>1</v>
      </c>
      <c r="D193" s="22">
        <v>4</v>
      </c>
      <c r="E193" s="26" t="s">
        <v>422</v>
      </c>
      <c r="F193" s="22">
        <v>7</v>
      </c>
      <c r="G193" s="26" t="s">
        <v>26</v>
      </c>
      <c r="H193" s="26" t="s">
        <v>22</v>
      </c>
      <c r="I193" s="22">
        <v>6</v>
      </c>
      <c r="J193" s="22"/>
      <c r="K193" s="22"/>
      <c r="L193" s="22">
        <v>3</v>
      </c>
      <c r="M193" s="26"/>
    </row>
    <row r="194" spans="1:13" x14ac:dyDescent="0.25">
      <c r="A194" s="19" t="s">
        <v>521</v>
      </c>
      <c r="B194" s="25" t="s">
        <v>423</v>
      </c>
      <c r="C194" s="22">
        <v>2</v>
      </c>
      <c r="D194" s="22">
        <v>4</v>
      </c>
      <c r="E194" s="26" t="s">
        <v>424</v>
      </c>
      <c r="F194" s="22">
        <v>2</v>
      </c>
      <c r="G194" s="26" t="s">
        <v>26</v>
      </c>
      <c r="H194" s="26" t="s">
        <v>41</v>
      </c>
      <c r="I194" s="22">
        <v>5</v>
      </c>
      <c r="J194" s="22"/>
      <c r="K194" s="22"/>
      <c r="L194" s="22"/>
      <c r="M194" s="26" t="s">
        <v>389</v>
      </c>
    </row>
    <row r="195" spans="1:13" x14ac:dyDescent="0.25">
      <c r="A195" s="19" t="s">
        <v>521</v>
      </c>
      <c r="B195" s="25" t="s">
        <v>425</v>
      </c>
      <c r="C195" s="22">
        <v>2</v>
      </c>
      <c r="D195" s="22">
        <v>4</v>
      </c>
      <c r="E195" s="26" t="s">
        <v>426</v>
      </c>
      <c r="F195" s="22">
        <v>4</v>
      </c>
      <c r="G195" s="26" t="s">
        <v>26</v>
      </c>
      <c r="H195" s="26" t="s">
        <v>68</v>
      </c>
      <c r="I195" s="22">
        <v>5</v>
      </c>
      <c r="J195" s="22"/>
      <c r="K195" s="22"/>
      <c r="L195" s="22"/>
      <c r="M195" s="26" t="s">
        <v>427</v>
      </c>
    </row>
    <row r="196" spans="1:13" x14ac:dyDescent="0.25">
      <c r="A196" s="19" t="s">
        <v>521</v>
      </c>
      <c r="B196" s="25" t="s">
        <v>428</v>
      </c>
      <c r="C196" s="22">
        <v>1</v>
      </c>
      <c r="D196" s="22">
        <v>4</v>
      </c>
      <c r="E196" s="26" t="s">
        <v>429</v>
      </c>
      <c r="F196" s="22">
        <v>7</v>
      </c>
      <c r="G196" s="26" t="s">
        <v>21</v>
      </c>
      <c r="H196" s="26" t="s">
        <v>24</v>
      </c>
      <c r="I196" s="22">
        <v>3</v>
      </c>
      <c r="J196" s="22"/>
      <c r="K196" s="22"/>
      <c r="L196" s="22"/>
      <c r="M196" s="26" t="s">
        <v>364</v>
      </c>
    </row>
    <row r="197" spans="1:13" x14ac:dyDescent="0.25">
      <c r="A197" s="19" t="s">
        <v>521</v>
      </c>
      <c r="B197" s="25" t="s">
        <v>430</v>
      </c>
      <c r="C197" s="22">
        <v>1</v>
      </c>
      <c r="D197" s="22">
        <v>4</v>
      </c>
      <c r="E197" s="26" t="s">
        <v>431</v>
      </c>
      <c r="F197" s="22">
        <v>7</v>
      </c>
      <c r="G197" s="26" t="s">
        <v>21</v>
      </c>
      <c r="H197" s="26" t="s">
        <v>24</v>
      </c>
      <c r="I197" s="22">
        <v>6</v>
      </c>
      <c r="J197" s="22"/>
      <c r="K197" s="22"/>
      <c r="L197" s="22"/>
      <c r="M197" s="26" t="s">
        <v>361</v>
      </c>
    </row>
    <row r="198" spans="1:13" ht="30" x14ac:dyDescent="0.25">
      <c r="A198" s="19" t="s">
        <v>521</v>
      </c>
      <c r="B198" s="25" t="s">
        <v>432</v>
      </c>
      <c r="C198" s="22">
        <v>2</v>
      </c>
      <c r="D198" s="22">
        <v>4</v>
      </c>
      <c r="E198" s="26" t="s">
        <v>433</v>
      </c>
      <c r="F198" s="22">
        <v>3</v>
      </c>
      <c r="G198" s="26" t="s">
        <v>26</v>
      </c>
      <c r="H198" s="26" t="s">
        <v>23</v>
      </c>
      <c r="I198" s="22">
        <v>5</v>
      </c>
      <c r="J198" s="22"/>
      <c r="K198" s="22"/>
      <c r="L198" s="22"/>
      <c r="M198" s="26" t="s">
        <v>1703</v>
      </c>
    </row>
    <row r="199" spans="1:13" ht="30" x14ac:dyDescent="0.25">
      <c r="A199" s="19" t="s">
        <v>521</v>
      </c>
      <c r="B199" s="25" t="s">
        <v>434</v>
      </c>
      <c r="C199" s="22">
        <v>1</v>
      </c>
      <c r="D199" s="22">
        <v>4</v>
      </c>
      <c r="E199" s="26" t="s">
        <v>435</v>
      </c>
      <c r="F199" s="22">
        <v>5</v>
      </c>
      <c r="G199" s="26" t="s">
        <v>21</v>
      </c>
      <c r="H199" s="26" t="s">
        <v>23</v>
      </c>
      <c r="I199" s="22">
        <v>6</v>
      </c>
      <c r="J199" s="22"/>
      <c r="K199" s="22"/>
      <c r="L199" s="22"/>
      <c r="M199" s="26" t="s">
        <v>436</v>
      </c>
    </row>
    <row r="200" spans="1:13" x14ac:dyDescent="0.25">
      <c r="A200" s="19" t="s">
        <v>521</v>
      </c>
      <c r="B200" s="25" t="s">
        <v>437</v>
      </c>
      <c r="C200" s="22">
        <v>2</v>
      </c>
      <c r="D200" s="22">
        <v>4</v>
      </c>
      <c r="E200" s="26" t="s">
        <v>438</v>
      </c>
      <c r="F200" s="22">
        <v>4</v>
      </c>
      <c r="G200" s="26" t="s">
        <v>21</v>
      </c>
      <c r="H200" s="26" t="s">
        <v>23</v>
      </c>
      <c r="I200" s="22">
        <v>5</v>
      </c>
      <c r="J200" s="22"/>
      <c r="K200" s="22"/>
      <c r="L200" s="22"/>
      <c r="M200" s="26" t="s">
        <v>439</v>
      </c>
    </row>
    <row r="201" spans="1:13" x14ac:dyDescent="0.25">
      <c r="A201" s="19" t="s">
        <v>521</v>
      </c>
      <c r="B201" s="25" t="s">
        <v>440</v>
      </c>
      <c r="C201" s="22">
        <v>1</v>
      </c>
      <c r="D201" s="22">
        <v>4</v>
      </c>
      <c r="E201" s="26" t="s">
        <v>441</v>
      </c>
      <c r="F201" s="22">
        <v>3</v>
      </c>
      <c r="G201" s="26" t="s">
        <v>29</v>
      </c>
      <c r="H201" s="26" t="s">
        <v>35</v>
      </c>
      <c r="I201" s="22"/>
      <c r="J201" s="22"/>
      <c r="K201" s="22"/>
      <c r="L201" s="22"/>
      <c r="M201" s="27" t="s">
        <v>1251</v>
      </c>
    </row>
    <row r="202" spans="1:13" x14ac:dyDescent="0.25">
      <c r="A202" s="19" t="s">
        <v>121</v>
      </c>
      <c r="B202" s="25" t="s">
        <v>219</v>
      </c>
      <c r="C202" s="22">
        <v>1</v>
      </c>
      <c r="D202" s="22">
        <v>6</v>
      </c>
      <c r="E202" s="26" t="s">
        <v>102</v>
      </c>
      <c r="F202" s="22">
        <v>4</v>
      </c>
      <c r="G202" s="26" t="s">
        <v>29</v>
      </c>
      <c r="H202" s="26" t="s">
        <v>30</v>
      </c>
      <c r="I202" s="22"/>
      <c r="J202" s="22"/>
      <c r="K202" s="22"/>
      <c r="L202" s="22"/>
      <c r="M202" s="26" t="s">
        <v>160</v>
      </c>
    </row>
    <row r="203" spans="1:13" x14ac:dyDescent="0.25">
      <c r="A203" s="19" t="s">
        <v>521</v>
      </c>
      <c r="B203" s="25" t="s">
        <v>445</v>
      </c>
      <c r="C203" s="22">
        <v>1</v>
      </c>
      <c r="D203" s="22">
        <v>4</v>
      </c>
      <c r="E203" s="26" t="s">
        <v>446</v>
      </c>
      <c r="F203" s="22">
        <v>5</v>
      </c>
      <c r="G203" s="26" t="s">
        <v>32</v>
      </c>
      <c r="H203" s="26" t="s">
        <v>48</v>
      </c>
      <c r="I203" s="22"/>
      <c r="J203" s="22">
        <v>3</v>
      </c>
      <c r="K203" s="22"/>
      <c r="L203" s="22">
        <v>3</v>
      </c>
      <c r="M203" s="26" t="s">
        <v>343</v>
      </c>
    </row>
    <row r="204" spans="1:13" x14ac:dyDescent="0.25">
      <c r="A204" s="19" t="s">
        <v>521</v>
      </c>
      <c r="B204" s="25" t="s">
        <v>447</v>
      </c>
      <c r="C204" s="22">
        <v>2</v>
      </c>
      <c r="D204" s="22">
        <v>4</v>
      </c>
      <c r="E204" s="26" t="s">
        <v>448</v>
      </c>
      <c r="F204" s="22">
        <v>6</v>
      </c>
      <c r="G204" s="26" t="s">
        <v>32</v>
      </c>
      <c r="H204" s="26" t="s">
        <v>70</v>
      </c>
      <c r="I204" s="22"/>
      <c r="J204" s="22">
        <v>4</v>
      </c>
      <c r="K204" s="22">
        <v>2</v>
      </c>
      <c r="L204" s="22"/>
      <c r="M204" s="26" t="s">
        <v>169</v>
      </c>
    </row>
    <row r="205" spans="1:13" ht="30" x14ac:dyDescent="0.25">
      <c r="A205" s="19" t="s">
        <v>521</v>
      </c>
      <c r="B205" s="25" t="s">
        <v>449</v>
      </c>
      <c r="C205" s="22">
        <v>1</v>
      </c>
      <c r="D205" s="22">
        <v>4</v>
      </c>
      <c r="E205" s="26" t="s">
        <v>450</v>
      </c>
      <c r="F205" s="22">
        <v>1</v>
      </c>
      <c r="G205" s="26" t="s">
        <v>32</v>
      </c>
      <c r="H205" s="26" t="s">
        <v>9</v>
      </c>
      <c r="I205" s="22"/>
      <c r="J205" s="22"/>
      <c r="K205" s="22"/>
      <c r="L205" s="22"/>
      <c r="M205" s="26" t="s">
        <v>451</v>
      </c>
    </row>
    <row r="206" spans="1:13" x14ac:dyDescent="0.25">
      <c r="A206" s="19" t="s">
        <v>521</v>
      </c>
      <c r="B206" s="25" t="s">
        <v>452</v>
      </c>
      <c r="C206" s="22">
        <v>1</v>
      </c>
      <c r="D206" s="22">
        <v>4</v>
      </c>
      <c r="E206" s="23" t="s">
        <v>1253</v>
      </c>
      <c r="F206" s="22">
        <v>1</v>
      </c>
      <c r="G206" s="23" t="s">
        <v>32</v>
      </c>
      <c r="H206" s="23" t="s">
        <v>9</v>
      </c>
      <c r="I206" s="22"/>
      <c r="J206" s="22"/>
      <c r="K206" s="22"/>
      <c r="L206" s="22"/>
      <c r="M206" s="23" t="s">
        <v>1252</v>
      </c>
    </row>
    <row r="207" spans="1:13" x14ac:dyDescent="0.25">
      <c r="A207" s="19" t="s">
        <v>521</v>
      </c>
      <c r="B207" s="20" t="s">
        <v>455</v>
      </c>
      <c r="C207" s="22">
        <v>1</v>
      </c>
      <c r="D207" s="22">
        <v>4</v>
      </c>
      <c r="E207" s="26" t="s">
        <v>453</v>
      </c>
      <c r="F207" s="22">
        <v>1</v>
      </c>
      <c r="G207" s="26" t="s">
        <v>32</v>
      </c>
      <c r="H207" s="26" t="s">
        <v>9</v>
      </c>
      <c r="I207" s="22"/>
      <c r="J207" s="22"/>
      <c r="K207" s="22"/>
      <c r="L207" s="22"/>
      <c r="M207" s="26" t="s">
        <v>454</v>
      </c>
    </row>
    <row r="208" spans="1:13" x14ac:dyDescent="0.25">
      <c r="A208" s="19" t="s">
        <v>521</v>
      </c>
      <c r="B208" s="20" t="s">
        <v>458</v>
      </c>
      <c r="C208" s="22">
        <v>1</v>
      </c>
      <c r="D208" s="22">
        <v>4</v>
      </c>
      <c r="E208" s="26" t="s">
        <v>456</v>
      </c>
      <c r="F208" s="22">
        <v>8</v>
      </c>
      <c r="G208" s="26" t="s">
        <v>32</v>
      </c>
      <c r="H208" s="26" t="s">
        <v>30</v>
      </c>
      <c r="I208" s="22"/>
      <c r="J208" s="22"/>
      <c r="K208" s="22"/>
      <c r="L208" s="22"/>
      <c r="M208" s="26" t="s">
        <v>457</v>
      </c>
    </row>
    <row r="209" spans="1:13" x14ac:dyDescent="0.25">
      <c r="A209" s="19" t="s">
        <v>521</v>
      </c>
      <c r="B209" s="20" t="s">
        <v>460</v>
      </c>
      <c r="C209" s="22">
        <v>2</v>
      </c>
      <c r="D209" s="22">
        <v>4</v>
      </c>
      <c r="E209" s="26" t="s">
        <v>459</v>
      </c>
      <c r="F209" s="22">
        <v>0</v>
      </c>
      <c r="G209" s="26" t="s">
        <v>32</v>
      </c>
      <c r="H209" s="26" t="s">
        <v>30</v>
      </c>
      <c r="I209" s="22"/>
      <c r="J209" s="22"/>
      <c r="K209" s="22"/>
      <c r="L209" s="22">
        <v>4</v>
      </c>
      <c r="M209" s="26" t="s">
        <v>381</v>
      </c>
    </row>
    <row r="210" spans="1:13" ht="30" x14ac:dyDescent="0.25">
      <c r="A210" s="19" t="s">
        <v>521</v>
      </c>
      <c r="B210" s="20" t="s">
        <v>1254</v>
      </c>
      <c r="C210" s="22">
        <v>1</v>
      </c>
      <c r="D210" s="22">
        <v>4</v>
      </c>
      <c r="E210" s="26" t="s">
        <v>461</v>
      </c>
      <c r="F210" s="22">
        <v>8</v>
      </c>
      <c r="G210" s="26" t="s">
        <v>32</v>
      </c>
      <c r="H210" s="26" t="s">
        <v>30</v>
      </c>
      <c r="I210" s="22"/>
      <c r="J210" s="22"/>
      <c r="K210" s="22"/>
      <c r="L210" s="22"/>
      <c r="M210" s="26" t="s">
        <v>1255</v>
      </c>
    </row>
    <row r="211" spans="1:13" x14ac:dyDescent="0.25">
      <c r="A211" s="19" t="s">
        <v>521</v>
      </c>
      <c r="B211" s="25" t="s">
        <v>462</v>
      </c>
      <c r="C211" s="22">
        <v>1</v>
      </c>
      <c r="D211" s="22">
        <v>5</v>
      </c>
      <c r="E211" s="26" t="s">
        <v>463</v>
      </c>
      <c r="F211" s="22">
        <v>7</v>
      </c>
      <c r="G211" s="26" t="s">
        <v>26</v>
      </c>
      <c r="H211" s="26" t="s">
        <v>22</v>
      </c>
      <c r="I211" s="22">
        <v>6</v>
      </c>
      <c r="J211" s="22">
        <v>3</v>
      </c>
      <c r="K211" s="22"/>
      <c r="L211" s="22"/>
      <c r="M211" s="26"/>
    </row>
    <row r="212" spans="1:13" x14ac:dyDescent="0.25">
      <c r="A212" s="19" t="s">
        <v>521</v>
      </c>
      <c r="B212" s="25" t="s">
        <v>464</v>
      </c>
      <c r="C212" s="22">
        <v>2</v>
      </c>
      <c r="D212" s="22">
        <v>5</v>
      </c>
      <c r="E212" s="26" t="s">
        <v>465</v>
      </c>
      <c r="F212" s="22">
        <v>4</v>
      </c>
      <c r="G212" s="26" t="s">
        <v>26</v>
      </c>
      <c r="H212" s="26" t="s">
        <v>41</v>
      </c>
      <c r="I212" s="22">
        <v>5</v>
      </c>
      <c r="J212" s="22"/>
      <c r="K212" s="22"/>
      <c r="L212" s="22"/>
      <c r="M212" s="26" t="s">
        <v>466</v>
      </c>
    </row>
    <row r="213" spans="1:13" x14ac:dyDescent="0.25">
      <c r="A213" s="19" t="s">
        <v>521</v>
      </c>
      <c r="B213" s="25" t="s">
        <v>467</v>
      </c>
      <c r="C213" s="22">
        <v>2</v>
      </c>
      <c r="D213" s="22">
        <v>5</v>
      </c>
      <c r="E213" s="26" t="s">
        <v>468</v>
      </c>
      <c r="F213" s="22">
        <v>1</v>
      </c>
      <c r="G213" s="26" t="s">
        <v>26</v>
      </c>
      <c r="H213" s="26" t="s">
        <v>298</v>
      </c>
      <c r="I213" s="22">
        <v>5</v>
      </c>
      <c r="J213" s="22"/>
      <c r="K213" s="22"/>
      <c r="L213" s="22"/>
      <c r="M213" s="26" t="s">
        <v>318</v>
      </c>
    </row>
    <row r="214" spans="1:13" x14ac:dyDescent="0.25">
      <c r="A214" s="19" t="s">
        <v>521</v>
      </c>
      <c r="B214" s="25" t="s">
        <v>469</v>
      </c>
      <c r="C214" s="22">
        <v>2</v>
      </c>
      <c r="D214" s="22">
        <v>5</v>
      </c>
      <c r="E214" s="26" t="s">
        <v>470</v>
      </c>
      <c r="F214" s="22">
        <v>2</v>
      </c>
      <c r="G214" s="26" t="s">
        <v>21</v>
      </c>
      <c r="H214" s="26" t="s">
        <v>24</v>
      </c>
      <c r="I214" s="22">
        <v>5</v>
      </c>
      <c r="J214" s="22"/>
      <c r="K214" s="22"/>
      <c r="L214" s="22"/>
      <c r="M214" s="26" t="s">
        <v>471</v>
      </c>
    </row>
    <row r="215" spans="1:13" x14ac:dyDescent="0.25">
      <c r="A215" s="19" t="s">
        <v>521</v>
      </c>
      <c r="B215" s="25" t="s">
        <v>472</v>
      </c>
      <c r="C215" s="22">
        <v>2</v>
      </c>
      <c r="D215" s="22">
        <v>5</v>
      </c>
      <c r="E215" s="26" t="s">
        <v>473</v>
      </c>
      <c r="F215" s="22">
        <v>2</v>
      </c>
      <c r="G215" s="26" t="s">
        <v>21</v>
      </c>
      <c r="H215" s="26" t="s">
        <v>149</v>
      </c>
      <c r="I215" s="22">
        <v>5</v>
      </c>
      <c r="J215" s="22"/>
      <c r="K215" s="22"/>
      <c r="L215" s="22"/>
      <c r="M215" s="26" t="s">
        <v>150</v>
      </c>
    </row>
    <row r="216" spans="1:13" ht="30" x14ac:dyDescent="0.25">
      <c r="A216" s="19" t="s">
        <v>521</v>
      </c>
      <c r="B216" s="25" t="s">
        <v>474</v>
      </c>
      <c r="C216" s="22">
        <v>2</v>
      </c>
      <c r="D216" s="22">
        <v>5</v>
      </c>
      <c r="E216" s="26" t="s">
        <v>475</v>
      </c>
      <c r="F216" s="22">
        <v>3</v>
      </c>
      <c r="G216" s="26" t="s">
        <v>26</v>
      </c>
      <c r="H216" s="26" t="s">
        <v>23</v>
      </c>
      <c r="I216" s="22">
        <v>5</v>
      </c>
      <c r="J216" s="22"/>
      <c r="K216" s="22"/>
      <c r="L216" s="22"/>
      <c r="M216" s="26" t="s">
        <v>1704</v>
      </c>
    </row>
    <row r="217" spans="1:13" ht="30" x14ac:dyDescent="0.25">
      <c r="A217" s="19" t="s">
        <v>521</v>
      </c>
      <c r="B217" s="25" t="s">
        <v>476</v>
      </c>
      <c r="C217" s="22">
        <v>1</v>
      </c>
      <c r="D217" s="22">
        <v>5</v>
      </c>
      <c r="E217" s="26" t="s">
        <v>477</v>
      </c>
      <c r="F217" s="22">
        <v>3</v>
      </c>
      <c r="G217" s="26" t="s">
        <v>21</v>
      </c>
      <c r="H217" s="26" t="s">
        <v>23</v>
      </c>
      <c r="I217" s="22">
        <v>5</v>
      </c>
      <c r="J217" s="22"/>
      <c r="K217" s="22"/>
      <c r="L217" s="22"/>
      <c r="M217" s="26" t="s">
        <v>310</v>
      </c>
    </row>
    <row r="218" spans="1:13" x14ac:dyDescent="0.25">
      <c r="A218" s="19" t="s">
        <v>521</v>
      </c>
      <c r="B218" s="25" t="s">
        <v>478</v>
      </c>
      <c r="C218" s="22">
        <v>1</v>
      </c>
      <c r="D218" s="22">
        <v>5</v>
      </c>
      <c r="E218" s="26" t="s">
        <v>479</v>
      </c>
      <c r="F218" s="22">
        <v>5</v>
      </c>
      <c r="G218" s="26" t="s">
        <v>21</v>
      </c>
      <c r="H218" s="26" t="s">
        <v>23</v>
      </c>
      <c r="I218" s="22">
        <v>5</v>
      </c>
      <c r="J218" s="22"/>
      <c r="K218" s="22"/>
      <c r="L218" s="22"/>
      <c r="M218" s="26" t="s">
        <v>480</v>
      </c>
    </row>
    <row r="219" spans="1:13" x14ac:dyDescent="0.25">
      <c r="A219" s="19" t="s">
        <v>121</v>
      </c>
      <c r="B219" s="25" t="s">
        <v>222</v>
      </c>
      <c r="C219" s="22">
        <v>1</v>
      </c>
      <c r="D219" s="22">
        <v>6</v>
      </c>
      <c r="E219" s="26" t="s">
        <v>130</v>
      </c>
      <c r="F219" s="22">
        <v>3</v>
      </c>
      <c r="G219" s="26" t="s">
        <v>29</v>
      </c>
      <c r="H219" s="26" t="s">
        <v>30</v>
      </c>
      <c r="I219" s="22"/>
      <c r="J219" s="22"/>
      <c r="K219" s="22"/>
      <c r="L219" s="22"/>
      <c r="M219" s="26" t="s">
        <v>223</v>
      </c>
    </row>
    <row r="220" spans="1:13" x14ac:dyDescent="0.25">
      <c r="A220" s="19" t="s">
        <v>702</v>
      </c>
      <c r="B220" s="20" t="s">
        <v>734</v>
      </c>
      <c r="C220" s="21">
        <v>2</v>
      </c>
      <c r="D220" s="22">
        <v>4</v>
      </c>
      <c r="E220" s="23" t="s">
        <v>735</v>
      </c>
      <c r="F220" s="22">
        <v>4</v>
      </c>
      <c r="G220" s="23" t="s">
        <v>713</v>
      </c>
      <c r="H220" s="23" t="s">
        <v>35</v>
      </c>
      <c r="I220" s="22"/>
      <c r="J220" s="22">
        <v>3</v>
      </c>
      <c r="K220" s="22"/>
      <c r="L220" s="22"/>
      <c r="M220" s="23"/>
    </row>
    <row r="221" spans="1:13" x14ac:dyDescent="0.25">
      <c r="A221" s="19" t="s">
        <v>521</v>
      </c>
      <c r="B221" s="25" t="s">
        <v>487</v>
      </c>
      <c r="C221" s="22">
        <v>2</v>
      </c>
      <c r="D221" s="22">
        <v>5</v>
      </c>
      <c r="E221" s="26" t="s">
        <v>488</v>
      </c>
      <c r="F221" s="22">
        <v>6</v>
      </c>
      <c r="G221" s="26" t="s">
        <v>32</v>
      </c>
      <c r="H221" s="26" t="s">
        <v>48</v>
      </c>
      <c r="I221" s="22"/>
      <c r="J221" s="22">
        <v>4</v>
      </c>
      <c r="K221" s="22"/>
      <c r="L221" s="22">
        <v>4</v>
      </c>
      <c r="M221" s="26" t="s">
        <v>489</v>
      </c>
    </row>
    <row r="222" spans="1:13" x14ac:dyDescent="0.25">
      <c r="A222" s="19" t="s">
        <v>521</v>
      </c>
      <c r="B222" s="25" t="s">
        <v>490</v>
      </c>
      <c r="C222" s="22">
        <v>2</v>
      </c>
      <c r="D222" s="22">
        <v>5</v>
      </c>
      <c r="E222" s="26" t="s">
        <v>491</v>
      </c>
      <c r="F222" s="22">
        <v>8</v>
      </c>
      <c r="G222" s="26" t="s">
        <v>32</v>
      </c>
      <c r="H222" s="26" t="s">
        <v>70</v>
      </c>
      <c r="I222" s="22"/>
      <c r="J222" s="22">
        <v>6</v>
      </c>
      <c r="K222" s="22">
        <v>4</v>
      </c>
      <c r="L222" s="22"/>
      <c r="M222" s="26" t="s">
        <v>169</v>
      </c>
    </row>
    <row r="223" spans="1:13" x14ac:dyDescent="0.25">
      <c r="A223" s="19" t="s">
        <v>521</v>
      </c>
      <c r="B223" s="25" t="s">
        <v>492</v>
      </c>
      <c r="C223" s="22">
        <v>1</v>
      </c>
      <c r="D223" s="22">
        <v>5</v>
      </c>
      <c r="E223" s="26" t="s">
        <v>493</v>
      </c>
      <c r="F223" s="22">
        <v>0</v>
      </c>
      <c r="G223" s="26" t="s">
        <v>32</v>
      </c>
      <c r="H223" s="26" t="s">
        <v>30</v>
      </c>
      <c r="I223" s="22"/>
      <c r="J223" s="22"/>
      <c r="K223" s="22"/>
      <c r="L223" s="22"/>
      <c r="M223" s="26" t="s">
        <v>494</v>
      </c>
    </row>
    <row r="224" spans="1:13" ht="30" x14ac:dyDescent="0.25">
      <c r="A224" s="19" t="s">
        <v>521</v>
      </c>
      <c r="B224" s="25" t="s">
        <v>495</v>
      </c>
      <c r="C224" s="22">
        <v>1</v>
      </c>
      <c r="D224" s="22">
        <v>5</v>
      </c>
      <c r="E224" s="26" t="s">
        <v>496</v>
      </c>
      <c r="F224" s="22">
        <v>5</v>
      </c>
      <c r="G224" s="26" t="s">
        <v>32</v>
      </c>
      <c r="H224" s="26" t="s">
        <v>9</v>
      </c>
      <c r="I224" s="22"/>
      <c r="J224" s="22"/>
      <c r="K224" s="22"/>
      <c r="L224" s="22"/>
      <c r="M224" s="26" t="s">
        <v>497</v>
      </c>
    </row>
    <row r="225" spans="1:13" x14ac:dyDescent="0.25">
      <c r="A225" s="19" t="s">
        <v>521</v>
      </c>
      <c r="B225" s="25" t="s">
        <v>498</v>
      </c>
      <c r="C225" s="22">
        <v>1</v>
      </c>
      <c r="D225" s="22">
        <v>5</v>
      </c>
      <c r="E225" s="26" t="s">
        <v>499</v>
      </c>
      <c r="F225" s="22">
        <v>0</v>
      </c>
      <c r="G225" s="26" t="s">
        <v>32</v>
      </c>
      <c r="H225" s="26" t="s">
        <v>30</v>
      </c>
      <c r="I225" s="22"/>
      <c r="J225" s="22"/>
      <c r="K225" s="22"/>
      <c r="L225" s="22" t="s">
        <v>52</v>
      </c>
      <c r="M225" s="26" t="s">
        <v>500</v>
      </c>
    </row>
    <row r="226" spans="1:13" x14ac:dyDescent="0.25">
      <c r="A226" s="19" t="s">
        <v>521</v>
      </c>
      <c r="B226" s="25" t="s">
        <v>501</v>
      </c>
      <c r="C226" s="22">
        <v>1</v>
      </c>
      <c r="D226" s="22" t="s">
        <v>1710</v>
      </c>
      <c r="E226" s="26" t="s">
        <v>502</v>
      </c>
      <c r="F226" s="22">
        <v>7</v>
      </c>
      <c r="G226" s="26" t="s">
        <v>32</v>
      </c>
      <c r="H226" s="26" t="s">
        <v>30</v>
      </c>
      <c r="I226" s="22"/>
      <c r="J226" s="22"/>
      <c r="K226" s="22"/>
      <c r="L226" s="22"/>
      <c r="M226" s="26" t="s">
        <v>503</v>
      </c>
    </row>
    <row r="227" spans="1:13" x14ac:dyDescent="0.25">
      <c r="A227" s="19" t="s">
        <v>521</v>
      </c>
      <c r="B227" s="25" t="s">
        <v>512</v>
      </c>
      <c r="C227" s="22">
        <v>2</v>
      </c>
      <c r="D227" s="22" t="s">
        <v>1710</v>
      </c>
      <c r="E227" s="26" t="s">
        <v>513</v>
      </c>
      <c r="F227" s="22"/>
      <c r="G227" s="26" t="s">
        <v>21</v>
      </c>
      <c r="H227" s="26" t="s">
        <v>24</v>
      </c>
      <c r="I227" s="22">
        <v>4</v>
      </c>
      <c r="J227" s="22"/>
      <c r="K227" s="22"/>
      <c r="L227" s="22"/>
      <c r="M227" s="26" t="s">
        <v>514</v>
      </c>
    </row>
    <row r="228" spans="1:13" x14ac:dyDescent="0.25">
      <c r="A228" s="19" t="s">
        <v>521</v>
      </c>
      <c r="B228" s="25" t="s">
        <v>504</v>
      </c>
      <c r="C228" s="22">
        <v>2</v>
      </c>
      <c r="D228" s="22" t="s">
        <v>1710</v>
      </c>
      <c r="E228" s="26" t="s">
        <v>505</v>
      </c>
      <c r="F228" s="22"/>
      <c r="G228" s="26" t="s">
        <v>26</v>
      </c>
      <c r="H228" s="26" t="s">
        <v>22</v>
      </c>
      <c r="I228" s="22">
        <v>4</v>
      </c>
      <c r="J228" s="22"/>
      <c r="K228" s="22"/>
      <c r="L228" s="22"/>
      <c r="M228" s="26" t="s">
        <v>506</v>
      </c>
    </row>
    <row r="229" spans="1:13" ht="30" x14ac:dyDescent="0.25">
      <c r="A229" s="19" t="s">
        <v>521</v>
      </c>
      <c r="B229" s="25" t="s">
        <v>518</v>
      </c>
      <c r="C229" s="22">
        <v>2</v>
      </c>
      <c r="D229" s="22" t="s">
        <v>1710</v>
      </c>
      <c r="E229" s="26" t="s">
        <v>519</v>
      </c>
      <c r="F229" s="22"/>
      <c r="G229" s="26" t="s">
        <v>32</v>
      </c>
      <c r="H229" s="26" t="s">
        <v>30</v>
      </c>
      <c r="I229" s="22"/>
      <c r="J229" s="22"/>
      <c r="K229" s="22"/>
      <c r="L229" s="22"/>
      <c r="M229" s="26" t="s">
        <v>520</v>
      </c>
    </row>
    <row r="230" spans="1:13" x14ac:dyDescent="0.25">
      <c r="A230" s="19" t="s">
        <v>521</v>
      </c>
      <c r="B230" s="25" t="s">
        <v>507</v>
      </c>
      <c r="C230" s="22">
        <v>2</v>
      </c>
      <c r="D230" s="22" t="s">
        <v>1710</v>
      </c>
      <c r="E230" s="26" t="s">
        <v>508</v>
      </c>
      <c r="F230" s="22"/>
      <c r="G230" s="26" t="s">
        <v>32</v>
      </c>
      <c r="H230" s="26" t="s">
        <v>70</v>
      </c>
      <c r="I230" s="22"/>
      <c r="J230" s="22">
        <v>2</v>
      </c>
      <c r="K230" s="22">
        <v>2</v>
      </c>
      <c r="L230" s="22"/>
      <c r="M230" s="26" t="s">
        <v>1256</v>
      </c>
    </row>
    <row r="231" spans="1:13" x14ac:dyDescent="0.25">
      <c r="A231" s="19" t="s">
        <v>521</v>
      </c>
      <c r="B231" s="25" t="s">
        <v>515</v>
      </c>
      <c r="C231" s="22">
        <v>2</v>
      </c>
      <c r="D231" s="22" t="s">
        <v>1710</v>
      </c>
      <c r="E231" s="26" t="s">
        <v>516</v>
      </c>
      <c r="F231" s="22"/>
      <c r="G231" s="26" t="s">
        <v>32</v>
      </c>
      <c r="H231" s="26" t="s">
        <v>30</v>
      </c>
      <c r="I231" s="22"/>
      <c r="J231" s="22"/>
      <c r="K231" s="22"/>
      <c r="L231" s="22"/>
      <c r="M231" s="26" t="s">
        <v>517</v>
      </c>
    </row>
    <row r="232" spans="1:13" ht="30" x14ac:dyDescent="0.25">
      <c r="A232" s="19" t="s">
        <v>521</v>
      </c>
      <c r="B232" s="25" t="s">
        <v>509</v>
      </c>
      <c r="C232" s="22">
        <v>2</v>
      </c>
      <c r="D232" s="22" t="s">
        <v>1710</v>
      </c>
      <c r="E232" s="26" t="s">
        <v>510</v>
      </c>
      <c r="F232" s="22"/>
      <c r="G232" s="26" t="s">
        <v>32</v>
      </c>
      <c r="H232" s="26" t="s">
        <v>35</v>
      </c>
      <c r="I232" s="22"/>
      <c r="J232" s="22">
        <v>2</v>
      </c>
      <c r="K232" s="22"/>
      <c r="L232" s="22">
        <v>2</v>
      </c>
      <c r="M232" s="26" t="s">
        <v>511</v>
      </c>
    </row>
    <row r="233" spans="1:13" x14ac:dyDescent="0.25">
      <c r="A233" s="19" t="s">
        <v>521</v>
      </c>
      <c r="B233" s="25" t="s">
        <v>301</v>
      </c>
      <c r="C233" s="22">
        <v>4</v>
      </c>
      <c r="D233" s="22" t="s">
        <v>1711</v>
      </c>
      <c r="E233" s="26" t="s">
        <v>302</v>
      </c>
      <c r="F233" s="22"/>
      <c r="G233" s="26" t="s">
        <v>26</v>
      </c>
      <c r="H233" s="26" t="s">
        <v>22</v>
      </c>
      <c r="I233" s="22">
        <v>3</v>
      </c>
      <c r="J233" s="22"/>
      <c r="K233" s="22"/>
      <c r="L233" s="22"/>
      <c r="M233" s="26"/>
    </row>
    <row r="234" spans="1:13" x14ac:dyDescent="0.25">
      <c r="A234" s="19" t="s">
        <v>521</v>
      </c>
      <c r="B234" s="25" t="s">
        <v>303</v>
      </c>
      <c r="C234" s="22">
        <v>4</v>
      </c>
      <c r="D234" s="22" t="s">
        <v>1711</v>
      </c>
      <c r="E234" s="26" t="s">
        <v>304</v>
      </c>
      <c r="F234" s="22"/>
      <c r="G234" s="26" t="s">
        <v>26</v>
      </c>
      <c r="H234" s="26" t="s">
        <v>68</v>
      </c>
      <c r="I234" s="22">
        <v>2</v>
      </c>
      <c r="J234" s="22"/>
      <c r="K234" s="22"/>
      <c r="L234" s="22"/>
      <c r="M234" s="26" t="s">
        <v>305</v>
      </c>
    </row>
    <row r="235" spans="1:13" x14ac:dyDescent="0.25">
      <c r="A235" s="19" t="s">
        <v>521</v>
      </c>
      <c r="B235" s="25" t="s">
        <v>306</v>
      </c>
      <c r="C235" s="22">
        <v>4</v>
      </c>
      <c r="D235" s="22" t="s">
        <v>1711</v>
      </c>
      <c r="E235" s="26" t="s">
        <v>307</v>
      </c>
      <c r="F235" s="22"/>
      <c r="G235" s="26" t="s">
        <v>21</v>
      </c>
      <c r="H235" s="26" t="s">
        <v>24</v>
      </c>
      <c r="I235" s="22">
        <v>2</v>
      </c>
      <c r="J235" s="22"/>
      <c r="K235" s="22"/>
      <c r="L235" s="22"/>
      <c r="M235" s="26"/>
    </row>
    <row r="236" spans="1:13" ht="30" x14ac:dyDescent="0.25">
      <c r="A236" s="19" t="s">
        <v>521</v>
      </c>
      <c r="B236" s="25" t="s">
        <v>308</v>
      </c>
      <c r="C236" s="22">
        <v>4</v>
      </c>
      <c r="D236" s="22" t="s">
        <v>1711</v>
      </c>
      <c r="E236" s="26" t="s">
        <v>309</v>
      </c>
      <c r="F236" s="22"/>
      <c r="G236" s="26" t="s">
        <v>21</v>
      </c>
      <c r="H236" s="26" t="s">
        <v>23</v>
      </c>
      <c r="I236" s="22">
        <v>2</v>
      </c>
      <c r="J236" s="22"/>
      <c r="K236" s="22"/>
      <c r="L236" s="22"/>
      <c r="M236" s="26" t="s">
        <v>310</v>
      </c>
    </row>
    <row r="237" spans="1:13" x14ac:dyDescent="0.25">
      <c r="A237" s="19" t="s">
        <v>521</v>
      </c>
      <c r="B237" s="25" t="s">
        <v>311</v>
      </c>
      <c r="C237" s="22">
        <v>4</v>
      </c>
      <c r="D237" s="22" t="s">
        <v>1711</v>
      </c>
      <c r="E237" s="26" t="s">
        <v>312</v>
      </c>
      <c r="F237" s="22"/>
      <c r="G237" s="26" t="s">
        <v>21</v>
      </c>
      <c r="H237" s="26" t="s">
        <v>23</v>
      </c>
      <c r="I237" s="22">
        <v>2</v>
      </c>
      <c r="J237" s="22"/>
      <c r="K237" s="22"/>
      <c r="L237" s="22"/>
      <c r="M237" s="26" t="s">
        <v>313</v>
      </c>
    </row>
    <row r="238" spans="1:13" ht="30" x14ac:dyDescent="0.25">
      <c r="A238" s="19" t="s">
        <v>521</v>
      </c>
      <c r="B238" s="25" t="s">
        <v>484</v>
      </c>
      <c r="C238" s="22">
        <v>1</v>
      </c>
      <c r="D238" s="22">
        <v>5</v>
      </c>
      <c r="E238" s="26" t="s">
        <v>485</v>
      </c>
      <c r="F238" s="22">
        <v>4</v>
      </c>
      <c r="G238" s="26" t="s">
        <v>29</v>
      </c>
      <c r="H238" s="26" t="s">
        <v>35</v>
      </c>
      <c r="I238" s="22"/>
      <c r="J238" s="22"/>
      <c r="K238" s="22"/>
      <c r="L238" s="22"/>
      <c r="M238" s="26" t="s">
        <v>486</v>
      </c>
    </row>
    <row r="239" spans="1:13" ht="30" x14ac:dyDescent="0.25">
      <c r="A239" s="19" t="s">
        <v>292</v>
      </c>
      <c r="B239" s="25" t="s">
        <v>267</v>
      </c>
      <c r="C239" s="22">
        <v>2</v>
      </c>
      <c r="D239" s="22">
        <v>2</v>
      </c>
      <c r="E239" s="26" t="s">
        <v>268</v>
      </c>
      <c r="F239" s="22">
        <v>2</v>
      </c>
      <c r="G239" s="26" t="s">
        <v>266</v>
      </c>
      <c r="H239" s="26" t="s">
        <v>9</v>
      </c>
      <c r="I239" s="22"/>
      <c r="J239" s="22"/>
      <c r="K239" s="22"/>
      <c r="L239" s="22"/>
      <c r="M239" s="26" t="s">
        <v>269</v>
      </c>
    </row>
    <row r="240" spans="1:13" ht="30" x14ac:dyDescent="0.25">
      <c r="A240" s="19" t="s">
        <v>292</v>
      </c>
      <c r="B240" s="25" t="s">
        <v>270</v>
      </c>
      <c r="C240" s="22">
        <v>2</v>
      </c>
      <c r="D240" s="22">
        <v>3</v>
      </c>
      <c r="E240" s="26" t="s">
        <v>271</v>
      </c>
      <c r="F240" s="22">
        <v>3</v>
      </c>
      <c r="G240" s="26" t="s">
        <v>266</v>
      </c>
      <c r="H240" s="26" t="s">
        <v>9</v>
      </c>
      <c r="I240" s="22"/>
      <c r="J240" s="22"/>
      <c r="K240" s="22"/>
      <c r="L240" s="22"/>
      <c r="M240" s="26" t="s">
        <v>272</v>
      </c>
    </row>
    <row r="241" spans="1:13" x14ac:dyDescent="0.25">
      <c r="A241" s="19" t="s">
        <v>292</v>
      </c>
      <c r="B241" s="25" t="s">
        <v>273</v>
      </c>
      <c r="C241" s="22">
        <v>2</v>
      </c>
      <c r="D241" s="22">
        <v>4</v>
      </c>
      <c r="E241" s="26" t="s">
        <v>274</v>
      </c>
      <c r="F241" s="22">
        <v>2</v>
      </c>
      <c r="G241" s="26" t="s">
        <v>21</v>
      </c>
      <c r="H241" s="26" t="s">
        <v>149</v>
      </c>
      <c r="I241" s="22">
        <v>4</v>
      </c>
      <c r="J241" s="22"/>
      <c r="K241" s="22"/>
      <c r="L241" s="22"/>
      <c r="M241" s="26" t="s">
        <v>275</v>
      </c>
    </row>
    <row r="242" spans="1:13" x14ac:dyDescent="0.25">
      <c r="A242" s="19" t="s">
        <v>292</v>
      </c>
      <c r="B242" s="25" t="s">
        <v>276</v>
      </c>
      <c r="C242" s="22">
        <v>2</v>
      </c>
      <c r="D242" s="22">
        <v>5</v>
      </c>
      <c r="E242" s="26" t="s">
        <v>277</v>
      </c>
      <c r="F242" s="22">
        <v>1</v>
      </c>
      <c r="G242" s="26" t="s">
        <v>266</v>
      </c>
      <c r="H242" s="26" t="s">
        <v>35</v>
      </c>
      <c r="I242" s="22"/>
      <c r="J242" s="22"/>
      <c r="K242" s="22"/>
      <c r="L242" s="22"/>
      <c r="M242" s="26" t="s">
        <v>278</v>
      </c>
    </row>
    <row r="243" spans="1:13" ht="30" x14ac:dyDescent="0.25">
      <c r="A243" s="19" t="s">
        <v>292</v>
      </c>
      <c r="B243" s="25" t="s">
        <v>289</v>
      </c>
      <c r="C243" s="22">
        <v>2</v>
      </c>
      <c r="D243" s="22" t="s">
        <v>1710</v>
      </c>
      <c r="E243" s="26" t="s">
        <v>290</v>
      </c>
      <c r="F243" s="22"/>
      <c r="G243" s="26" t="s">
        <v>266</v>
      </c>
      <c r="H243" s="26" t="s">
        <v>9</v>
      </c>
      <c r="I243" s="22"/>
      <c r="J243" s="22"/>
      <c r="K243" s="22"/>
      <c r="L243" s="22"/>
      <c r="M243" s="26" t="s">
        <v>291</v>
      </c>
    </row>
    <row r="244" spans="1:13" x14ac:dyDescent="0.25">
      <c r="A244" s="19" t="s">
        <v>292</v>
      </c>
      <c r="B244" s="25" t="s">
        <v>279</v>
      </c>
      <c r="C244" s="22">
        <v>2</v>
      </c>
      <c r="D244" s="22" t="s">
        <v>1710</v>
      </c>
      <c r="E244" s="26" t="s">
        <v>280</v>
      </c>
      <c r="F244" s="22"/>
      <c r="G244" s="26" t="s">
        <v>266</v>
      </c>
      <c r="H244" s="26" t="s">
        <v>35</v>
      </c>
      <c r="I244" s="22"/>
      <c r="J244" s="22">
        <v>3</v>
      </c>
      <c r="K244" s="22"/>
      <c r="L244" s="22"/>
      <c r="M244" s="26"/>
    </row>
    <row r="245" spans="1:13" x14ac:dyDescent="0.25">
      <c r="A245" s="19" t="s">
        <v>292</v>
      </c>
      <c r="B245" s="25" t="s">
        <v>284</v>
      </c>
      <c r="C245" s="22">
        <v>2</v>
      </c>
      <c r="D245" s="22" t="s">
        <v>1710</v>
      </c>
      <c r="E245" s="26" t="s">
        <v>285</v>
      </c>
      <c r="F245" s="22"/>
      <c r="G245" s="26" t="s">
        <v>266</v>
      </c>
      <c r="H245" s="26" t="s">
        <v>35</v>
      </c>
      <c r="I245" s="22"/>
      <c r="J245" s="22"/>
      <c r="K245" s="22"/>
      <c r="L245" s="22"/>
      <c r="M245" s="26" t="s">
        <v>1705</v>
      </c>
    </row>
    <row r="246" spans="1:13" ht="30" x14ac:dyDescent="0.25">
      <c r="A246" s="19" t="s">
        <v>292</v>
      </c>
      <c r="B246" s="25" t="s">
        <v>286</v>
      </c>
      <c r="C246" s="22">
        <v>2</v>
      </c>
      <c r="D246" s="22" t="s">
        <v>1710</v>
      </c>
      <c r="E246" s="26" t="s">
        <v>287</v>
      </c>
      <c r="F246" s="22"/>
      <c r="G246" s="26" t="s">
        <v>32</v>
      </c>
      <c r="H246" s="26" t="s">
        <v>9</v>
      </c>
      <c r="I246" s="22"/>
      <c r="J246" s="22"/>
      <c r="K246" s="22"/>
      <c r="L246" s="22"/>
      <c r="M246" s="26" t="s">
        <v>288</v>
      </c>
    </row>
    <row r="247" spans="1:13" x14ac:dyDescent="0.25">
      <c r="A247" s="19" t="s">
        <v>292</v>
      </c>
      <c r="B247" s="25" t="s">
        <v>281</v>
      </c>
      <c r="C247" s="22">
        <v>2</v>
      </c>
      <c r="D247" s="22" t="s">
        <v>1710</v>
      </c>
      <c r="E247" s="26" t="s">
        <v>282</v>
      </c>
      <c r="F247" s="22"/>
      <c r="G247" s="26" t="s">
        <v>266</v>
      </c>
      <c r="H247" s="26" t="s">
        <v>35</v>
      </c>
      <c r="I247" s="22"/>
      <c r="J247" s="22"/>
      <c r="K247" s="22"/>
      <c r="L247" s="22"/>
      <c r="M247" s="26" t="s">
        <v>283</v>
      </c>
    </row>
    <row r="248" spans="1:13" x14ac:dyDescent="0.25">
      <c r="A248" s="19" t="s">
        <v>110</v>
      </c>
      <c r="B248" s="25" t="s">
        <v>143</v>
      </c>
      <c r="C248" s="22">
        <v>2</v>
      </c>
      <c r="D248" s="22">
        <v>6</v>
      </c>
      <c r="E248" s="26" t="s">
        <v>111</v>
      </c>
      <c r="F248" s="22">
        <v>4</v>
      </c>
      <c r="G248" s="26" t="s">
        <v>26</v>
      </c>
      <c r="H248" s="26" t="s">
        <v>41</v>
      </c>
      <c r="I248" s="22">
        <v>6</v>
      </c>
      <c r="J248" s="22"/>
      <c r="K248" s="22"/>
      <c r="L248" s="22"/>
      <c r="M248" s="26" t="s">
        <v>144</v>
      </c>
    </row>
    <row r="249" spans="1:13" x14ac:dyDescent="0.25">
      <c r="A249" s="19" t="s">
        <v>110</v>
      </c>
      <c r="B249" s="25" t="s">
        <v>145</v>
      </c>
      <c r="C249" s="22">
        <v>2</v>
      </c>
      <c r="D249" s="22">
        <v>6</v>
      </c>
      <c r="E249" s="26" t="s">
        <v>112</v>
      </c>
      <c r="F249" s="22">
        <v>8</v>
      </c>
      <c r="G249" s="26" t="s">
        <v>21</v>
      </c>
      <c r="H249" s="26" t="s">
        <v>146</v>
      </c>
      <c r="I249" s="67">
        <v>7</v>
      </c>
      <c r="J249" s="67"/>
      <c r="K249" s="67"/>
      <c r="L249" s="67"/>
      <c r="M249" s="26" t="s">
        <v>147</v>
      </c>
    </row>
    <row r="250" spans="1:13" x14ac:dyDescent="0.25">
      <c r="A250" s="19" t="s">
        <v>110</v>
      </c>
      <c r="B250" s="25" t="s">
        <v>148</v>
      </c>
      <c r="C250" s="22">
        <v>2</v>
      </c>
      <c r="D250" s="22">
        <v>6</v>
      </c>
      <c r="E250" s="26" t="s">
        <v>113</v>
      </c>
      <c r="F250" s="22">
        <v>1</v>
      </c>
      <c r="G250" s="26" t="s">
        <v>21</v>
      </c>
      <c r="H250" s="26" t="s">
        <v>149</v>
      </c>
      <c r="I250" s="22">
        <v>6</v>
      </c>
      <c r="J250" s="22"/>
      <c r="K250" s="22"/>
      <c r="L250" s="22"/>
      <c r="M250" s="26" t="s">
        <v>150</v>
      </c>
    </row>
    <row r="251" spans="1:13" x14ac:dyDescent="0.25">
      <c r="A251" s="19" t="s">
        <v>110</v>
      </c>
      <c r="B251" s="25" t="s">
        <v>151</v>
      </c>
      <c r="C251" s="22">
        <v>2</v>
      </c>
      <c r="D251" s="22">
        <v>6</v>
      </c>
      <c r="E251" s="26" t="s">
        <v>152</v>
      </c>
      <c r="F251" s="22">
        <v>3</v>
      </c>
      <c r="G251" s="26" t="s">
        <v>26</v>
      </c>
      <c r="H251" s="26" t="s">
        <v>68</v>
      </c>
      <c r="I251" s="22">
        <v>6</v>
      </c>
      <c r="J251" s="22"/>
      <c r="K251" s="22"/>
      <c r="L251" s="22"/>
      <c r="M251" s="26" t="s">
        <v>782</v>
      </c>
    </row>
    <row r="252" spans="1:13" ht="30" x14ac:dyDescent="0.25">
      <c r="A252" s="19" t="s">
        <v>110</v>
      </c>
      <c r="B252" s="25" t="s">
        <v>153</v>
      </c>
      <c r="C252" s="22">
        <v>2</v>
      </c>
      <c r="D252" s="22">
        <v>6</v>
      </c>
      <c r="E252" s="26" t="s">
        <v>114</v>
      </c>
      <c r="F252" s="22">
        <v>3</v>
      </c>
      <c r="G252" s="26" t="s">
        <v>26</v>
      </c>
      <c r="H252" s="26" t="s">
        <v>23</v>
      </c>
      <c r="I252" s="22">
        <v>6</v>
      </c>
      <c r="J252" s="22"/>
      <c r="K252" s="22"/>
      <c r="L252" s="22"/>
      <c r="M252" s="26" t="s">
        <v>1706</v>
      </c>
    </row>
    <row r="253" spans="1:13" x14ac:dyDescent="0.25">
      <c r="A253" s="19" t="s">
        <v>110</v>
      </c>
      <c r="B253" s="25" t="s">
        <v>154</v>
      </c>
      <c r="C253" s="22">
        <v>2</v>
      </c>
      <c r="D253" s="22">
        <v>6</v>
      </c>
      <c r="E253" s="26" t="s">
        <v>155</v>
      </c>
      <c r="F253" s="22">
        <v>4</v>
      </c>
      <c r="G253" s="26" t="s">
        <v>21</v>
      </c>
      <c r="H253" s="26" t="s">
        <v>23</v>
      </c>
      <c r="I253" s="22">
        <v>6</v>
      </c>
      <c r="J253" s="22"/>
      <c r="K253" s="22"/>
      <c r="L253" s="22"/>
      <c r="M253" s="26" t="s">
        <v>156</v>
      </c>
    </row>
    <row r="254" spans="1:13" ht="30" x14ac:dyDescent="0.25">
      <c r="A254" s="19" t="s">
        <v>110</v>
      </c>
      <c r="B254" s="25" t="s">
        <v>157</v>
      </c>
      <c r="C254" s="22">
        <v>1</v>
      </c>
      <c r="D254" s="22">
        <v>6</v>
      </c>
      <c r="E254" s="26" t="s">
        <v>115</v>
      </c>
      <c r="F254" s="22">
        <v>4</v>
      </c>
      <c r="G254" s="26" t="s">
        <v>21</v>
      </c>
      <c r="H254" s="26" t="s">
        <v>23</v>
      </c>
      <c r="I254" s="22">
        <v>6</v>
      </c>
      <c r="J254" s="22"/>
      <c r="K254" s="22"/>
      <c r="L254" s="22"/>
      <c r="M254" s="26" t="s">
        <v>158</v>
      </c>
    </row>
    <row r="255" spans="1:13" x14ac:dyDescent="0.25">
      <c r="A255" s="19" t="s">
        <v>110</v>
      </c>
      <c r="B255" s="25" t="s">
        <v>159</v>
      </c>
      <c r="C255" s="22">
        <v>1</v>
      </c>
      <c r="D255" s="22">
        <v>6</v>
      </c>
      <c r="E255" s="26" t="s">
        <v>88</v>
      </c>
      <c r="F255" s="22">
        <v>4</v>
      </c>
      <c r="G255" s="26" t="s">
        <v>29</v>
      </c>
      <c r="H255" s="26" t="s">
        <v>30</v>
      </c>
      <c r="I255" s="22"/>
      <c r="J255" s="22"/>
      <c r="K255" s="22"/>
      <c r="L255" s="22"/>
      <c r="M255" s="26" t="s">
        <v>160</v>
      </c>
    </row>
    <row r="256" spans="1:13" x14ac:dyDescent="0.25">
      <c r="A256" s="19" t="s">
        <v>702</v>
      </c>
      <c r="B256" s="20" t="s">
        <v>740</v>
      </c>
      <c r="C256" s="21">
        <v>2</v>
      </c>
      <c r="D256" s="22">
        <v>5</v>
      </c>
      <c r="E256" s="23" t="s">
        <v>741</v>
      </c>
      <c r="F256" s="22">
        <v>5</v>
      </c>
      <c r="G256" s="23" t="s">
        <v>713</v>
      </c>
      <c r="H256" s="23" t="s">
        <v>35</v>
      </c>
      <c r="I256" s="22"/>
      <c r="J256" s="22"/>
      <c r="K256" s="22"/>
      <c r="L256" s="22"/>
      <c r="M256" s="23" t="s">
        <v>742</v>
      </c>
    </row>
    <row r="257" spans="1:13" x14ac:dyDescent="0.25">
      <c r="A257" s="19" t="s">
        <v>79</v>
      </c>
      <c r="B257" s="25" t="s">
        <v>193</v>
      </c>
      <c r="C257" s="22">
        <v>1</v>
      </c>
      <c r="D257" s="22">
        <v>6</v>
      </c>
      <c r="E257" s="26" t="s">
        <v>87</v>
      </c>
      <c r="F257" s="22">
        <v>4</v>
      </c>
      <c r="G257" s="26" t="s">
        <v>29</v>
      </c>
      <c r="H257" s="26" t="s">
        <v>35</v>
      </c>
      <c r="I257" s="22"/>
      <c r="J257" s="22"/>
      <c r="K257" s="22"/>
      <c r="L257" s="22"/>
      <c r="M257" s="26" t="s">
        <v>194</v>
      </c>
    </row>
    <row r="258" spans="1:13" x14ac:dyDescent="0.25">
      <c r="A258" s="19" t="s">
        <v>110</v>
      </c>
      <c r="B258" s="25" t="s">
        <v>165</v>
      </c>
      <c r="C258" s="22">
        <v>2</v>
      </c>
      <c r="D258" s="22">
        <v>6</v>
      </c>
      <c r="E258" s="26" t="s">
        <v>117</v>
      </c>
      <c r="F258" s="22">
        <v>8</v>
      </c>
      <c r="G258" s="26" t="s">
        <v>32</v>
      </c>
      <c r="H258" s="26" t="s">
        <v>166</v>
      </c>
      <c r="I258" s="67"/>
      <c r="J258" s="67">
        <v>4</v>
      </c>
      <c r="K258" s="67"/>
      <c r="L258" s="67">
        <v>4</v>
      </c>
      <c r="M258" s="26" t="s">
        <v>167</v>
      </c>
    </row>
    <row r="259" spans="1:13" x14ac:dyDescent="0.25">
      <c r="A259" s="19" t="s">
        <v>110</v>
      </c>
      <c r="B259" s="25" t="s">
        <v>168</v>
      </c>
      <c r="C259" s="22">
        <v>2</v>
      </c>
      <c r="D259" s="22">
        <v>6</v>
      </c>
      <c r="E259" s="26" t="s">
        <v>118</v>
      </c>
      <c r="F259" s="22">
        <v>2</v>
      </c>
      <c r="G259" s="26" t="s">
        <v>32</v>
      </c>
      <c r="H259" s="26" t="s">
        <v>70</v>
      </c>
      <c r="I259" s="22"/>
      <c r="J259" s="22">
        <v>1</v>
      </c>
      <c r="K259" s="22">
        <v>2</v>
      </c>
      <c r="L259" s="22">
        <v>3</v>
      </c>
      <c r="M259" s="26" t="s">
        <v>169</v>
      </c>
    </row>
    <row r="260" spans="1:13" ht="30" x14ac:dyDescent="0.25">
      <c r="A260" s="19" t="s">
        <v>110</v>
      </c>
      <c r="B260" s="25" t="s">
        <v>170</v>
      </c>
      <c r="C260" s="22">
        <v>1</v>
      </c>
      <c r="D260" s="22">
        <v>6</v>
      </c>
      <c r="E260" s="26" t="s">
        <v>91</v>
      </c>
      <c r="F260" s="22">
        <v>1</v>
      </c>
      <c r="G260" s="26" t="s">
        <v>32</v>
      </c>
      <c r="H260" s="26" t="s">
        <v>35</v>
      </c>
      <c r="I260" s="22"/>
      <c r="J260" s="22"/>
      <c r="K260" s="22"/>
      <c r="L260" s="22"/>
      <c r="M260" s="26" t="s">
        <v>171</v>
      </c>
    </row>
    <row r="261" spans="1:13" x14ac:dyDescent="0.25">
      <c r="A261" s="19" t="s">
        <v>110</v>
      </c>
      <c r="B261" s="25" t="s">
        <v>172</v>
      </c>
      <c r="C261" s="22">
        <v>2</v>
      </c>
      <c r="D261" s="22">
        <v>6</v>
      </c>
      <c r="E261" s="26" t="s">
        <v>119</v>
      </c>
      <c r="F261" s="22">
        <v>0</v>
      </c>
      <c r="G261" s="26" t="s">
        <v>32</v>
      </c>
      <c r="H261" s="26" t="s">
        <v>35</v>
      </c>
      <c r="I261" s="22"/>
      <c r="J261" s="22"/>
      <c r="K261" s="22"/>
      <c r="L261" s="22"/>
      <c r="M261" s="26" t="s">
        <v>173</v>
      </c>
    </row>
    <row r="262" spans="1:13" x14ac:dyDescent="0.25">
      <c r="A262" s="19" t="s">
        <v>110</v>
      </c>
      <c r="B262" s="25" t="s">
        <v>174</v>
      </c>
      <c r="C262" s="22">
        <v>1</v>
      </c>
      <c r="D262" s="22">
        <v>6</v>
      </c>
      <c r="E262" s="26" t="s">
        <v>93</v>
      </c>
      <c r="F262" s="22">
        <v>7</v>
      </c>
      <c r="G262" s="26" t="s">
        <v>32</v>
      </c>
      <c r="H262" s="26" t="s">
        <v>30</v>
      </c>
      <c r="I262" s="22"/>
      <c r="J262" s="22"/>
      <c r="K262" s="22"/>
      <c r="L262" s="22"/>
      <c r="M262" s="26" t="s">
        <v>175</v>
      </c>
    </row>
    <row r="263" spans="1:13" x14ac:dyDescent="0.25">
      <c r="A263" s="19" t="s">
        <v>110</v>
      </c>
      <c r="B263" s="25" t="s">
        <v>177</v>
      </c>
      <c r="C263" s="22">
        <v>1</v>
      </c>
      <c r="D263" s="22" t="s">
        <v>1710</v>
      </c>
      <c r="E263" s="26" t="s">
        <v>178</v>
      </c>
      <c r="F263" s="22"/>
      <c r="G263" s="26" t="s">
        <v>21</v>
      </c>
      <c r="H263" s="26" t="s">
        <v>23</v>
      </c>
      <c r="I263" s="22">
        <v>6</v>
      </c>
      <c r="J263" s="22"/>
      <c r="K263" s="22"/>
      <c r="L263" s="22"/>
      <c r="M263" s="26" t="s">
        <v>179</v>
      </c>
    </row>
    <row r="264" spans="1:13" ht="30" x14ac:dyDescent="0.25">
      <c r="A264" s="19" t="s">
        <v>110</v>
      </c>
      <c r="B264" s="25" t="s">
        <v>180</v>
      </c>
      <c r="C264" s="22">
        <v>1</v>
      </c>
      <c r="D264" s="22" t="s">
        <v>1710</v>
      </c>
      <c r="E264" s="26" t="s">
        <v>120</v>
      </c>
      <c r="F264" s="22"/>
      <c r="G264" s="26" t="s">
        <v>32</v>
      </c>
      <c r="H264" s="26" t="s">
        <v>30</v>
      </c>
      <c r="I264" s="22"/>
      <c r="J264" s="22"/>
      <c r="K264" s="22"/>
      <c r="L264" s="22"/>
      <c r="M264" s="26" t="s">
        <v>181</v>
      </c>
    </row>
    <row r="265" spans="1:13" x14ac:dyDescent="0.25">
      <c r="A265" s="29" t="s">
        <v>1722</v>
      </c>
      <c r="B265" s="30" t="s">
        <v>1721</v>
      </c>
      <c r="C265" s="34">
        <v>4</v>
      </c>
      <c r="D265" s="31" t="s">
        <v>1711</v>
      </c>
      <c r="E265" s="32" t="s">
        <v>1719</v>
      </c>
      <c r="F265" s="33"/>
      <c r="G265" s="32" t="s">
        <v>21</v>
      </c>
      <c r="H265" s="32" t="s">
        <v>24</v>
      </c>
      <c r="I265" s="33">
        <v>1</v>
      </c>
      <c r="J265" s="33"/>
      <c r="K265" s="33"/>
      <c r="L265" s="33"/>
      <c r="M265" s="32" t="s">
        <v>1720</v>
      </c>
    </row>
    <row r="266" spans="1:13" ht="30" x14ac:dyDescent="0.25">
      <c r="A266" s="19" t="s">
        <v>701</v>
      </c>
      <c r="B266" s="23" t="s">
        <v>697</v>
      </c>
      <c r="C266" s="21">
        <v>2</v>
      </c>
      <c r="D266" s="22" t="s">
        <v>1710</v>
      </c>
      <c r="E266" s="23" t="s">
        <v>698</v>
      </c>
      <c r="F266" s="22"/>
      <c r="G266" s="23" t="s">
        <v>21</v>
      </c>
      <c r="H266" s="23" t="s">
        <v>149</v>
      </c>
      <c r="I266" s="22">
        <v>3</v>
      </c>
      <c r="J266" s="22"/>
      <c r="K266" s="22"/>
      <c r="L266" s="22"/>
      <c r="M266" s="23" t="s">
        <v>188</v>
      </c>
    </row>
    <row r="267" spans="1:13" x14ac:dyDescent="0.25">
      <c r="A267" s="19" t="s">
        <v>701</v>
      </c>
      <c r="B267" s="23" t="s">
        <v>699</v>
      </c>
      <c r="C267" s="21">
        <v>2</v>
      </c>
      <c r="D267" s="22" t="s">
        <v>1710</v>
      </c>
      <c r="E267" s="23" t="s">
        <v>700</v>
      </c>
      <c r="F267" s="22"/>
      <c r="G267" s="23" t="s">
        <v>32</v>
      </c>
      <c r="H267" s="23" t="s">
        <v>48</v>
      </c>
      <c r="I267" s="22"/>
      <c r="J267" s="22">
        <v>1</v>
      </c>
      <c r="K267" s="22"/>
      <c r="L267" s="22"/>
      <c r="M267" s="23" t="s">
        <v>1689</v>
      </c>
    </row>
    <row r="268" spans="1:13" x14ac:dyDescent="0.25">
      <c r="A268" s="19" t="s">
        <v>701</v>
      </c>
      <c r="B268" s="23" t="s">
        <v>675</v>
      </c>
      <c r="C268" s="21">
        <v>2</v>
      </c>
      <c r="D268" s="22" t="s">
        <v>1710</v>
      </c>
      <c r="E268" s="23" t="s">
        <v>676</v>
      </c>
      <c r="F268" s="22"/>
      <c r="G268" s="23" t="s">
        <v>26</v>
      </c>
      <c r="H268" s="23" t="s">
        <v>41</v>
      </c>
      <c r="I268" s="22">
        <v>3</v>
      </c>
      <c r="J268" s="22"/>
      <c r="K268" s="22"/>
      <c r="L268" s="22"/>
      <c r="M268" s="23" t="s">
        <v>1688</v>
      </c>
    </row>
    <row r="269" spans="1:13" ht="30" x14ac:dyDescent="0.25">
      <c r="A269" s="19" t="s">
        <v>701</v>
      </c>
      <c r="B269" s="23" t="s">
        <v>695</v>
      </c>
      <c r="C269" s="21">
        <v>2</v>
      </c>
      <c r="D269" s="22" t="s">
        <v>1710</v>
      </c>
      <c r="E269" s="23" t="s">
        <v>46</v>
      </c>
      <c r="F269" s="22"/>
      <c r="G269" s="23" t="s">
        <v>32</v>
      </c>
      <c r="H269" s="23" t="s">
        <v>35</v>
      </c>
      <c r="I269" s="22"/>
      <c r="J269" s="22"/>
      <c r="K269" s="22"/>
      <c r="L269" s="22"/>
      <c r="M269" s="23" t="s">
        <v>696</v>
      </c>
    </row>
    <row r="270" spans="1:13" x14ac:dyDescent="0.25">
      <c r="A270" s="19" t="s">
        <v>702</v>
      </c>
      <c r="B270" s="20" t="s">
        <v>706</v>
      </c>
      <c r="C270" s="21">
        <v>2</v>
      </c>
      <c r="D270" s="22">
        <v>1</v>
      </c>
      <c r="E270" s="23" t="s">
        <v>705</v>
      </c>
      <c r="F270" s="22">
        <v>2</v>
      </c>
      <c r="G270" s="23" t="s">
        <v>26</v>
      </c>
      <c r="H270" s="23" t="s">
        <v>41</v>
      </c>
      <c r="I270" s="22">
        <v>3</v>
      </c>
      <c r="J270" s="22"/>
      <c r="K270" s="22"/>
      <c r="L270" s="22"/>
      <c r="M270" s="23" t="s">
        <v>710</v>
      </c>
    </row>
    <row r="271" spans="1:13" x14ac:dyDescent="0.25">
      <c r="A271" s="19" t="s">
        <v>702</v>
      </c>
      <c r="B271" s="20" t="s">
        <v>707</v>
      </c>
      <c r="C271" s="21">
        <v>2</v>
      </c>
      <c r="D271" s="22">
        <v>1</v>
      </c>
      <c r="E271" s="23" t="s">
        <v>708</v>
      </c>
      <c r="F271" s="22">
        <v>2</v>
      </c>
      <c r="G271" s="23" t="s">
        <v>26</v>
      </c>
      <c r="H271" s="23" t="s">
        <v>298</v>
      </c>
      <c r="I271" s="22">
        <v>3</v>
      </c>
      <c r="J271" s="22"/>
      <c r="K271" s="22"/>
      <c r="L271" s="22"/>
      <c r="M271" s="23" t="s">
        <v>709</v>
      </c>
    </row>
    <row r="272" spans="1:13" x14ac:dyDescent="0.25">
      <c r="A272" s="19" t="s">
        <v>96</v>
      </c>
      <c r="B272" s="25" t="s">
        <v>252</v>
      </c>
      <c r="C272" s="22">
        <v>1</v>
      </c>
      <c r="D272" s="22">
        <v>6</v>
      </c>
      <c r="E272" s="26" t="s">
        <v>104</v>
      </c>
      <c r="F272" s="22">
        <v>0</v>
      </c>
      <c r="G272" s="26" t="s">
        <v>29</v>
      </c>
      <c r="H272" s="26" t="s">
        <v>35</v>
      </c>
      <c r="I272" s="22"/>
      <c r="J272" s="22"/>
      <c r="K272" s="22"/>
      <c r="L272" s="22"/>
      <c r="M272" s="26" t="s">
        <v>253</v>
      </c>
    </row>
    <row r="273" spans="1:13" x14ac:dyDescent="0.25">
      <c r="A273" s="19" t="s">
        <v>702</v>
      </c>
      <c r="B273" s="20" t="s">
        <v>715</v>
      </c>
      <c r="C273" s="21">
        <v>2</v>
      </c>
      <c r="D273" s="22">
        <v>2</v>
      </c>
      <c r="E273" s="23" t="s">
        <v>716</v>
      </c>
      <c r="F273" s="22">
        <v>5</v>
      </c>
      <c r="G273" s="23" t="s">
        <v>21</v>
      </c>
      <c r="H273" s="23" t="s">
        <v>149</v>
      </c>
      <c r="I273" s="22">
        <v>4</v>
      </c>
      <c r="J273" s="22"/>
      <c r="K273" s="22"/>
      <c r="L273" s="22"/>
      <c r="M273" s="23" t="s">
        <v>717</v>
      </c>
    </row>
    <row r="274" spans="1:13" x14ac:dyDescent="0.25">
      <c r="A274" s="19" t="s">
        <v>702</v>
      </c>
      <c r="B274" s="20" t="s">
        <v>718</v>
      </c>
      <c r="C274" s="21">
        <v>2</v>
      </c>
      <c r="D274" s="22">
        <v>2</v>
      </c>
      <c r="E274" s="23" t="s">
        <v>719</v>
      </c>
      <c r="F274" s="22">
        <v>4</v>
      </c>
      <c r="G274" s="23" t="s">
        <v>21</v>
      </c>
      <c r="H274" s="23" t="s">
        <v>23</v>
      </c>
      <c r="I274" s="22">
        <v>3</v>
      </c>
      <c r="J274" s="22"/>
      <c r="K274" s="22"/>
      <c r="L274" s="22"/>
      <c r="M274" s="23" t="s">
        <v>720</v>
      </c>
    </row>
    <row r="275" spans="1:13" ht="30" x14ac:dyDescent="0.25">
      <c r="A275" s="19" t="s">
        <v>121</v>
      </c>
      <c r="B275" s="25" t="s">
        <v>220</v>
      </c>
      <c r="C275" s="22">
        <v>1</v>
      </c>
      <c r="D275" s="22">
        <v>6</v>
      </c>
      <c r="E275" s="26" t="s">
        <v>129</v>
      </c>
      <c r="F275" s="22">
        <v>4</v>
      </c>
      <c r="G275" s="26" t="s">
        <v>29</v>
      </c>
      <c r="H275" s="26" t="s">
        <v>35</v>
      </c>
      <c r="I275" s="22"/>
      <c r="J275" s="22"/>
      <c r="K275" s="22"/>
      <c r="L275" s="22"/>
      <c r="M275" s="26" t="s">
        <v>221</v>
      </c>
    </row>
    <row r="276" spans="1:13" x14ac:dyDescent="0.25">
      <c r="A276" s="19" t="s">
        <v>702</v>
      </c>
      <c r="B276" s="20" t="s">
        <v>723</v>
      </c>
      <c r="C276" s="21">
        <v>2</v>
      </c>
      <c r="D276" s="22">
        <v>3</v>
      </c>
      <c r="E276" s="23" t="s">
        <v>724</v>
      </c>
      <c r="F276" s="22">
        <v>2</v>
      </c>
      <c r="G276" s="23" t="s">
        <v>26</v>
      </c>
      <c r="H276" s="23" t="s">
        <v>298</v>
      </c>
      <c r="I276" s="22">
        <v>4</v>
      </c>
      <c r="J276" s="22"/>
      <c r="K276" s="22"/>
      <c r="L276" s="22"/>
      <c r="M276" s="23" t="s">
        <v>709</v>
      </c>
    </row>
    <row r="277" spans="1:13" ht="30" x14ac:dyDescent="0.25">
      <c r="A277" s="19" t="s">
        <v>702</v>
      </c>
      <c r="B277" s="20" t="s">
        <v>725</v>
      </c>
      <c r="C277" s="21">
        <v>2</v>
      </c>
      <c r="D277" s="22">
        <v>3</v>
      </c>
      <c r="E277" s="23" t="s">
        <v>726</v>
      </c>
      <c r="F277" s="22">
        <v>4</v>
      </c>
      <c r="G277" s="23" t="s">
        <v>21</v>
      </c>
      <c r="H277" s="23" t="s">
        <v>23</v>
      </c>
      <c r="I277" s="22">
        <v>4</v>
      </c>
      <c r="J277" s="22"/>
      <c r="K277" s="22"/>
      <c r="L277" s="22"/>
      <c r="M277" s="23" t="s">
        <v>1708</v>
      </c>
    </row>
    <row r="278" spans="1:13" x14ac:dyDescent="0.25">
      <c r="A278" s="19" t="s">
        <v>702</v>
      </c>
      <c r="B278" s="20" t="s">
        <v>727</v>
      </c>
      <c r="C278" s="21">
        <v>2</v>
      </c>
      <c r="D278" s="22">
        <v>3</v>
      </c>
      <c r="E278" s="23" t="s">
        <v>728</v>
      </c>
      <c r="F278" s="22">
        <v>2</v>
      </c>
      <c r="G278" s="23" t="s">
        <v>713</v>
      </c>
      <c r="H278" s="23" t="s">
        <v>70</v>
      </c>
      <c r="I278" s="22"/>
      <c r="J278" s="22"/>
      <c r="K278" s="22"/>
      <c r="L278" s="22"/>
      <c r="M278" s="23" t="s">
        <v>729</v>
      </c>
    </row>
    <row r="279" spans="1:13" x14ac:dyDescent="0.25">
      <c r="A279" s="19" t="s">
        <v>702</v>
      </c>
      <c r="B279" s="20" t="s">
        <v>730</v>
      </c>
      <c r="C279" s="21">
        <v>5</v>
      </c>
      <c r="D279" s="22">
        <v>4</v>
      </c>
      <c r="E279" s="23" t="s">
        <v>731</v>
      </c>
      <c r="F279" s="22">
        <v>5</v>
      </c>
      <c r="G279" s="23" t="s">
        <v>21</v>
      </c>
      <c r="H279" s="23" t="s">
        <v>149</v>
      </c>
      <c r="I279" s="22">
        <v>5</v>
      </c>
      <c r="J279" s="22"/>
      <c r="K279" s="22"/>
      <c r="L279" s="22"/>
      <c r="M279" s="23" t="s">
        <v>717</v>
      </c>
    </row>
    <row r="280" spans="1:13" x14ac:dyDescent="0.25">
      <c r="A280" s="19" t="s">
        <v>702</v>
      </c>
      <c r="B280" s="20" t="s">
        <v>732</v>
      </c>
      <c r="C280" s="21">
        <v>2</v>
      </c>
      <c r="D280" s="22">
        <v>4</v>
      </c>
      <c r="E280" s="23" t="s">
        <v>733</v>
      </c>
      <c r="F280" s="22">
        <v>4</v>
      </c>
      <c r="G280" s="23" t="s">
        <v>21</v>
      </c>
      <c r="H280" s="23" t="s">
        <v>23</v>
      </c>
      <c r="I280" s="22">
        <v>4</v>
      </c>
      <c r="J280" s="22"/>
      <c r="K280" s="22"/>
      <c r="L280" s="22"/>
      <c r="M280" s="23" t="s">
        <v>720</v>
      </c>
    </row>
    <row r="281" spans="1:13" x14ac:dyDescent="0.25">
      <c r="A281" s="19" t="s">
        <v>110</v>
      </c>
      <c r="B281" s="25" t="s">
        <v>161</v>
      </c>
      <c r="C281" s="22">
        <v>1</v>
      </c>
      <c r="D281" s="22">
        <v>6</v>
      </c>
      <c r="E281" s="26" t="s">
        <v>34</v>
      </c>
      <c r="F281" s="22">
        <v>3</v>
      </c>
      <c r="G281" s="26" t="s">
        <v>29</v>
      </c>
      <c r="H281" s="26" t="s">
        <v>35</v>
      </c>
      <c r="I281" s="22"/>
      <c r="J281" s="22"/>
      <c r="K281" s="22"/>
      <c r="L281" s="22"/>
      <c r="M281" s="26" t="s">
        <v>162</v>
      </c>
    </row>
    <row r="282" spans="1:13" x14ac:dyDescent="0.25">
      <c r="A282" s="19" t="s">
        <v>702</v>
      </c>
      <c r="B282" s="20" t="s">
        <v>736</v>
      </c>
      <c r="C282" s="21">
        <v>2</v>
      </c>
      <c r="D282" s="22">
        <v>5</v>
      </c>
      <c r="E282" s="23" t="s">
        <v>737</v>
      </c>
      <c r="F282" s="22">
        <v>2</v>
      </c>
      <c r="G282" s="23" t="s">
        <v>26</v>
      </c>
      <c r="H282" s="23" t="s">
        <v>298</v>
      </c>
      <c r="I282" s="22">
        <v>5</v>
      </c>
      <c r="J282" s="22"/>
      <c r="K282" s="22"/>
      <c r="L282" s="22"/>
      <c r="M282" s="23" t="s">
        <v>709</v>
      </c>
    </row>
    <row r="283" spans="1:13" ht="30" x14ac:dyDescent="0.25">
      <c r="A283" s="19" t="s">
        <v>702</v>
      </c>
      <c r="B283" s="20" t="s">
        <v>738</v>
      </c>
      <c r="C283" s="21">
        <v>2</v>
      </c>
      <c r="D283" s="22">
        <v>5</v>
      </c>
      <c r="E283" s="23" t="s">
        <v>739</v>
      </c>
      <c r="F283" s="22">
        <v>3</v>
      </c>
      <c r="G283" s="23" t="s">
        <v>21</v>
      </c>
      <c r="H283" s="23" t="s">
        <v>23</v>
      </c>
      <c r="I283" s="22">
        <v>5</v>
      </c>
      <c r="J283" s="22"/>
      <c r="K283" s="22"/>
      <c r="L283" s="22"/>
      <c r="M283" s="23" t="s">
        <v>1708</v>
      </c>
    </row>
    <row r="284" spans="1:13" x14ac:dyDescent="0.25">
      <c r="A284" s="19" t="s">
        <v>110</v>
      </c>
      <c r="B284" s="25" t="s">
        <v>163</v>
      </c>
      <c r="C284" s="22">
        <v>1</v>
      </c>
      <c r="D284" s="22">
        <v>6</v>
      </c>
      <c r="E284" s="26" t="s">
        <v>116</v>
      </c>
      <c r="F284" s="22">
        <v>3</v>
      </c>
      <c r="G284" s="26" t="s">
        <v>29</v>
      </c>
      <c r="H284" s="26" t="s">
        <v>35</v>
      </c>
      <c r="I284" s="22"/>
      <c r="J284" s="22"/>
      <c r="K284" s="22"/>
      <c r="L284" s="22"/>
      <c r="M284" s="26" t="s">
        <v>164</v>
      </c>
    </row>
    <row r="285" spans="1:13" ht="30" x14ac:dyDescent="0.25">
      <c r="A285" s="19" t="s">
        <v>702</v>
      </c>
      <c r="B285" s="20" t="s">
        <v>750</v>
      </c>
      <c r="C285" s="21">
        <v>2</v>
      </c>
      <c r="D285" s="22" t="s">
        <v>1710</v>
      </c>
      <c r="E285" s="23" t="s">
        <v>751</v>
      </c>
      <c r="F285" s="22"/>
      <c r="G285" s="23" t="s">
        <v>713</v>
      </c>
      <c r="H285" s="23" t="s">
        <v>35</v>
      </c>
      <c r="I285" s="22"/>
      <c r="J285" s="22"/>
      <c r="K285" s="22"/>
      <c r="L285" s="22"/>
      <c r="M285" s="23" t="s">
        <v>752</v>
      </c>
    </row>
    <row r="286" spans="1:13" x14ac:dyDescent="0.25">
      <c r="A286" s="19" t="s">
        <v>702</v>
      </c>
      <c r="B286" s="20" t="s">
        <v>746</v>
      </c>
      <c r="C286" s="21">
        <v>2</v>
      </c>
      <c r="D286" s="22" t="s">
        <v>1710</v>
      </c>
      <c r="E286" s="23" t="s">
        <v>747</v>
      </c>
      <c r="F286" s="22"/>
      <c r="G286" s="23" t="s">
        <v>713</v>
      </c>
      <c r="H286" s="23" t="s">
        <v>35</v>
      </c>
      <c r="I286" s="22"/>
      <c r="J286" s="22"/>
      <c r="K286" s="22">
        <v>3</v>
      </c>
      <c r="L286" s="22"/>
      <c r="M286" s="23"/>
    </row>
    <row r="287" spans="1:13" x14ac:dyDescent="0.25">
      <c r="A287" s="19" t="s">
        <v>702</v>
      </c>
      <c r="B287" s="20" t="s">
        <v>743</v>
      </c>
      <c r="C287" s="21">
        <v>2</v>
      </c>
      <c r="D287" s="22" t="s">
        <v>1710</v>
      </c>
      <c r="E287" s="23" t="s">
        <v>744</v>
      </c>
      <c r="F287" s="22"/>
      <c r="G287" s="23" t="s">
        <v>713</v>
      </c>
      <c r="H287" s="23" t="s">
        <v>35</v>
      </c>
      <c r="I287" s="22"/>
      <c r="J287" s="22"/>
      <c r="K287" s="22"/>
      <c r="L287" s="22"/>
      <c r="M287" s="23" t="s">
        <v>745</v>
      </c>
    </row>
    <row r="288" spans="1:13" x14ac:dyDescent="0.25">
      <c r="A288" s="19" t="s">
        <v>702</v>
      </c>
      <c r="B288" s="20" t="s">
        <v>753</v>
      </c>
      <c r="C288" s="21">
        <v>2</v>
      </c>
      <c r="D288" s="22" t="s">
        <v>1710</v>
      </c>
      <c r="E288" s="23" t="s">
        <v>754</v>
      </c>
      <c r="F288" s="22"/>
      <c r="G288" s="23" t="s">
        <v>713</v>
      </c>
      <c r="H288" s="23" t="s">
        <v>35</v>
      </c>
      <c r="I288" s="22"/>
      <c r="J288" s="22"/>
      <c r="K288" s="22"/>
      <c r="L288" s="22"/>
      <c r="M288" s="23" t="s">
        <v>755</v>
      </c>
    </row>
    <row r="289" spans="1:13" x14ac:dyDescent="0.25">
      <c r="A289" s="19" t="s">
        <v>702</v>
      </c>
      <c r="B289" s="20" t="s">
        <v>748</v>
      </c>
      <c r="C289" s="21">
        <v>2</v>
      </c>
      <c r="D289" s="22" t="s">
        <v>1710</v>
      </c>
      <c r="E289" s="23" t="s">
        <v>749</v>
      </c>
      <c r="F289" s="22"/>
      <c r="G289" s="23" t="s">
        <v>713</v>
      </c>
      <c r="H289" s="23" t="s">
        <v>35</v>
      </c>
      <c r="I289" s="22"/>
      <c r="J289" s="22"/>
      <c r="K289" s="22"/>
      <c r="L289" s="22">
        <v>2</v>
      </c>
      <c r="M289" s="23"/>
    </row>
    <row r="290" spans="1:13" x14ac:dyDescent="0.25">
      <c r="A290" s="19" t="s">
        <v>702</v>
      </c>
      <c r="B290" s="28" t="s">
        <v>703</v>
      </c>
      <c r="C290" s="21">
        <v>4</v>
      </c>
      <c r="D290" s="22" t="s">
        <v>1711</v>
      </c>
      <c r="E290" s="23" t="s">
        <v>704</v>
      </c>
      <c r="F290" s="21"/>
      <c r="G290" s="23" t="s">
        <v>26</v>
      </c>
      <c r="H290" s="23" t="s">
        <v>41</v>
      </c>
      <c r="I290" s="21">
        <v>2</v>
      </c>
      <c r="J290" s="21"/>
      <c r="K290" s="21"/>
      <c r="L290" s="21"/>
      <c r="M290" s="19" t="s">
        <v>710</v>
      </c>
    </row>
    <row r="291" spans="1:13" x14ac:dyDescent="0.25">
      <c r="A291" s="19" t="s">
        <v>701</v>
      </c>
      <c r="B291" s="23" t="s">
        <v>677</v>
      </c>
      <c r="C291" s="21">
        <v>2</v>
      </c>
      <c r="D291" s="22" t="s">
        <v>1710</v>
      </c>
      <c r="E291" s="23" t="s">
        <v>678</v>
      </c>
      <c r="F291" s="22"/>
      <c r="G291" s="23" t="s">
        <v>26</v>
      </c>
      <c r="H291" s="23" t="s">
        <v>22</v>
      </c>
      <c r="I291" s="22">
        <v>4</v>
      </c>
      <c r="J291" s="22">
        <v>1</v>
      </c>
      <c r="K291" s="22"/>
      <c r="L291" s="22">
        <v>1</v>
      </c>
      <c r="M291" s="23"/>
    </row>
    <row r="292" spans="1:13" x14ac:dyDescent="0.25">
      <c r="A292" s="19" t="s">
        <v>701</v>
      </c>
      <c r="B292" s="23" t="s">
        <v>679</v>
      </c>
      <c r="C292" s="21">
        <v>2</v>
      </c>
      <c r="D292" s="22" t="s">
        <v>1710</v>
      </c>
      <c r="E292" s="23" t="s">
        <v>680</v>
      </c>
      <c r="F292" s="22"/>
      <c r="G292" s="23" t="s">
        <v>21</v>
      </c>
      <c r="H292" s="23" t="s">
        <v>23</v>
      </c>
      <c r="I292" s="22">
        <v>3</v>
      </c>
      <c r="J292" s="22"/>
      <c r="K292" s="22"/>
      <c r="L292" s="22"/>
      <c r="M292" s="23" t="s">
        <v>681</v>
      </c>
    </row>
    <row r="293" spans="1:13" ht="30" x14ac:dyDescent="0.25">
      <c r="A293" s="19" t="s">
        <v>701</v>
      </c>
      <c r="B293" s="23" t="s">
        <v>691</v>
      </c>
      <c r="C293" s="21">
        <v>1</v>
      </c>
      <c r="D293" s="22" t="s">
        <v>1710</v>
      </c>
      <c r="E293" s="23" t="s">
        <v>39</v>
      </c>
      <c r="F293" s="22"/>
      <c r="G293" s="23" t="s">
        <v>32</v>
      </c>
      <c r="H293" s="23" t="s">
        <v>30</v>
      </c>
      <c r="I293" s="22"/>
      <c r="J293" s="22"/>
      <c r="K293" s="22"/>
      <c r="L293" s="22"/>
      <c r="M293" s="23" t="s">
        <v>692</v>
      </c>
    </row>
    <row r="294" spans="1:13" x14ac:dyDescent="0.25">
      <c r="A294" s="19" t="s">
        <v>701</v>
      </c>
      <c r="B294" s="23" t="s">
        <v>686</v>
      </c>
      <c r="C294" s="21">
        <v>1</v>
      </c>
      <c r="D294" s="22" t="s">
        <v>1710</v>
      </c>
      <c r="E294" s="23" t="s">
        <v>687</v>
      </c>
      <c r="F294" s="22"/>
      <c r="G294" s="23" t="s">
        <v>32</v>
      </c>
      <c r="H294" s="23" t="s">
        <v>35</v>
      </c>
      <c r="I294" s="22"/>
      <c r="J294" s="22"/>
      <c r="K294" s="22"/>
      <c r="L294" s="22"/>
      <c r="M294" s="23" t="s">
        <v>688</v>
      </c>
    </row>
    <row r="295" spans="1:13" x14ac:dyDescent="0.25">
      <c r="A295" s="19" t="s">
        <v>701</v>
      </c>
      <c r="B295" s="23" t="s">
        <v>689</v>
      </c>
      <c r="C295" s="21">
        <v>1</v>
      </c>
      <c r="D295" s="22" t="s">
        <v>1710</v>
      </c>
      <c r="E295" s="23" t="s">
        <v>1918</v>
      </c>
      <c r="F295" s="22"/>
      <c r="G295" s="23" t="s">
        <v>26</v>
      </c>
      <c r="H295" s="23" t="s">
        <v>62</v>
      </c>
      <c r="I295" s="22">
        <v>4</v>
      </c>
      <c r="J295" s="22"/>
      <c r="K295" s="22"/>
      <c r="L295" s="22"/>
      <c r="M295" s="23" t="s">
        <v>690</v>
      </c>
    </row>
    <row r="296" spans="1:13" x14ac:dyDescent="0.25">
      <c r="A296" s="19" t="s">
        <v>701</v>
      </c>
      <c r="B296" s="23" t="s">
        <v>682</v>
      </c>
      <c r="C296" s="21">
        <v>2</v>
      </c>
      <c r="D296" s="22" t="s">
        <v>1710</v>
      </c>
      <c r="E296" s="23" t="s">
        <v>36</v>
      </c>
      <c r="F296" s="22"/>
      <c r="G296" s="23" t="s">
        <v>32</v>
      </c>
      <c r="H296" s="23" t="s">
        <v>30</v>
      </c>
      <c r="I296" s="22"/>
      <c r="J296" s="22"/>
      <c r="K296" s="22"/>
      <c r="L296" s="22"/>
      <c r="M296" s="23" t="s">
        <v>683</v>
      </c>
    </row>
    <row r="297" spans="1:13" x14ac:dyDescent="0.25">
      <c r="A297" s="19" t="s">
        <v>701</v>
      </c>
      <c r="B297" s="23" t="s">
        <v>684</v>
      </c>
      <c r="C297" s="21">
        <v>2</v>
      </c>
      <c r="D297" s="22" t="s">
        <v>1710</v>
      </c>
      <c r="E297" s="23" t="s">
        <v>72</v>
      </c>
      <c r="F297" s="22"/>
      <c r="G297" s="23" t="s">
        <v>26</v>
      </c>
      <c r="H297" s="23" t="s">
        <v>68</v>
      </c>
      <c r="I297" s="22">
        <v>3</v>
      </c>
      <c r="J297" s="22"/>
      <c r="K297" s="22"/>
      <c r="L297" s="22"/>
      <c r="M297" s="23" t="s">
        <v>685</v>
      </c>
    </row>
    <row r="298" spans="1:13" ht="30" x14ac:dyDescent="0.25">
      <c r="A298" s="19" t="s">
        <v>701</v>
      </c>
      <c r="B298" s="23" t="s">
        <v>693</v>
      </c>
      <c r="C298" s="21">
        <v>2</v>
      </c>
      <c r="D298" s="22" t="s">
        <v>1710</v>
      </c>
      <c r="E298" s="23" t="s">
        <v>56</v>
      </c>
      <c r="F298" s="22"/>
      <c r="G298" s="23" t="s">
        <v>32</v>
      </c>
      <c r="H298" s="23" t="s">
        <v>35</v>
      </c>
      <c r="I298" s="22"/>
      <c r="J298" s="22"/>
      <c r="K298" s="22"/>
      <c r="L298" s="22">
        <v>2</v>
      </c>
      <c r="M298" s="23" t="s">
        <v>694</v>
      </c>
    </row>
    <row r="299" spans="1:13" x14ac:dyDescent="0.25">
      <c r="A299" s="19" t="s">
        <v>701</v>
      </c>
      <c r="B299" s="20" t="s">
        <v>590</v>
      </c>
      <c r="C299" s="21">
        <v>4</v>
      </c>
      <c r="D299" s="22" t="s">
        <v>1711</v>
      </c>
      <c r="E299" s="23" t="s">
        <v>0</v>
      </c>
      <c r="F299" s="22"/>
      <c r="G299" s="23" t="s">
        <v>26</v>
      </c>
      <c r="H299" s="23" t="s">
        <v>22</v>
      </c>
      <c r="I299" s="22">
        <v>3</v>
      </c>
      <c r="J299" s="22"/>
      <c r="K299" s="22"/>
      <c r="L299" s="22"/>
      <c r="M299" s="23"/>
    </row>
    <row r="300" spans="1:13" x14ac:dyDescent="0.25">
      <c r="A300" s="19" t="s">
        <v>701</v>
      </c>
      <c r="B300" s="20" t="s">
        <v>591</v>
      </c>
      <c r="C300" s="21">
        <v>4</v>
      </c>
      <c r="D300" s="22" t="s">
        <v>1711</v>
      </c>
      <c r="E300" s="23" t="s">
        <v>1</v>
      </c>
      <c r="F300" s="22"/>
      <c r="G300" s="23" t="s">
        <v>26</v>
      </c>
      <c r="H300" s="23" t="s">
        <v>22</v>
      </c>
      <c r="I300" s="22">
        <v>2</v>
      </c>
      <c r="J300" s="22">
        <v>1</v>
      </c>
      <c r="K300" s="22"/>
      <c r="L300" s="22"/>
      <c r="M300" s="23"/>
    </row>
    <row r="301" spans="1:13" x14ac:dyDescent="0.25">
      <c r="A301" s="19" t="s">
        <v>701</v>
      </c>
      <c r="B301" s="20" t="s">
        <v>592</v>
      </c>
      <c r="C301" s="21">
        <v>4</v>
      </c>
      <c r="D301" s="22" t="s">
        <v>1711</v>
      </c>
      <c r="E301" s="23" t="s">
        <v>2</v>
      </c>
      <c r="F301" s="22"/>
      <c r="G301" s="23" t="s">
        <v>21</v>
      </c>
      <c r="H301" s="23" t="s">
        <v>24</v>
      </c>
      <c r="I301" s="22">
        <v>2</v>
      </c>
      <c r="J301" s="22"/>
      <c r="K301" s="22"/>
      <c r="L301" s="22"/>
      <c r="M301" s="23"/>
    </row>
    <row r="302" spans="1:13" x14ac:dyDescent="0.25">
      <c r="A302" s="19" t="s">
        <v>701</v>
      </c>
      <c r="B302" s="20" t="s">
        <v>593</v>
      </c>
      <c r="C302" s="21">
        <v>4</v>
      </c>
      <c r="D302" s="22" t="s">
        <v>1711</v>
      </c>
      <c r="E302" s="23" t="s">
        <v>4</v>
      </c>
      <c r="F302" s="22"/>
      <c r="G302" s="23" t="s">
        <v>21</v>
      </c>
      <c r="H302" s="23" t="s">
        <v>23</v>
      </c>
      <c r="I302" s="22">
        <v>2</v>
      </c>
      <c r="J302" s="22"/>
      <c r="K302" s="22"/>
      <c r="L302" s="22"/>
      <c r="M302" s="23" t="s">
        <v>1692</v>
      </c>
    </row>
    <row r="303" spans="1:13" x14ac:dyDescent="0.25">
      <c r="A303" s="19" t="s">
        <v>701</v>
      </c>
      <c r="B303" s="20" t="s">
        <v>594</v>
      </c>
      <c r="C303" s="21">
        <v>4</v>
      </c>
      <c r="D303" s="22" t="s">
        <v>1711</v>
      </c>
      <c r="E303" s="23" t="s">
        <v>3</v>
      </c>
      <c r="F303" s="22"/>
      <c r="G303" s="23" t="s">
        <v>21</v>
      </c>
      <c r="H303" s="23" t="s">
        <v>23</v>
      </c>
      <c r="I303" s="22">
        <v>2</v>
      </c>
      <c r="J303" s="22"/>
      <c r="K303" s="22"/>
      <c r="L303" s="22"/>
      <c r="M303" s="23" t="s">
        <v>1625</v>
      </c>
    </row>
    <row r="304" spans="1:13" x14ac:dyDescent="0.25">
      <c r="A304" s="19" t="s">
        <v>300</v>
      </c>
      <c r="B304" s="25" t="s">
        <v>293</v>
      </c>
      <c r="C304" s="22">
        <v>1</v>
      </c>
      <c r="D304" s="22" t="s">
        <v>1710</v>
      </c>
      <c r="E304" s="26" t="s">
        <v>294</v>
      </c>
      <c r="F304" s="22"/>
      <c r="G304" s="26" t="s">
        <v>26</v>
      </c>
      <c r="H304" s="26" t="s">
        <v>41</v>
      </c>
      <c r="I304" s="22">
        <v>5</v>
      </c>
      <c r="J304" s="22"/>
      <c r="K304" s="22"/>
      <c r="L304" s="22"/>
      <c r="M304" s="26" t="s">
        <v>295</v>
      </c>
    </row>
    <row r="305" spans="1:13" ht="30" x14ac:dyDescent="0.25">
      <c r="A305" s="19" t="s">
        <v>300</v>
      </c>
      <c r="B305" s="25" t="s">
        <v>296</v>
      </c>
      <c r="C305" s="22">
        <v>1</v>
      </c>
      <c r="D305" s="22" t="s">
        <v>1710</v>
      </c>
      <c r="E305" s="26" t="s">
        <v>297</v>
      </c>
      <c r="F305" s="22"/>
      <c r="G305" s="26" t="s">
        <v>26</v>
      </c>
      <c r="H305" s="26" t="s">
        <v>298</v>
      </c>
      <c r="I305" s="22">
        <v>5</v>
      </c>
      <c r="J305" s="22"/>
      <c r="K305" s="22"/>
      <c r="L305" s="22"/>
      <c r="M305" s="26" t="s">
        <v>299</v>
      </c>
    </row>
    <row r="306" spans="1:13" ht="30" x14ac:dyDescent="0.25">
      <c r="A306" s="19" t="s">
        <v>79</v>
      </c>
      <c r="B306" s="20"/>
      <c r="C306" s="21">
        <v>1</v>
      </c>
      <c r="D306" s="23" t="s">
        <v>1175</v>
      </c>
      <c r="E306" s="23" t="s">
        <v>999</v>
      </c>
      <c r="F306" s="22"/>
      <c r="G306" s="23" t="s">
        <v>21</v>
      </c>
      <c r="H306" s="23" t="s">
        <v>23</v>
      </c>
      <c r="I306" s="22">
        <v>6</v>
      </c>
      <c r="J306" s="22">
        <v>2</v>
      </c>
      <c r="K306" s="22"/>
      <c r="L306" s="22">
        <v>2</v>
      </c>
      <c r="M306" s="23"/>
    </row>
    <row r="307" spans="1:13" ht="30" x14ac:dyDescent="0.25">
      <c r="A307" s="19" t="s">
        <v>121</v>
      </c>
      <c r="B307" s="20"/>
      <c r="C307" s="21">
        <v>1</v>
      </c>
      <c r="D307" s="23" t="s">
        <v>1175</v>
      </c>
      <c r="E307" s="23" t="s">
        <v>887</v>
      </c>
      <c r="F307" s="22"/>
      <c r="G307" s="23" t="s">
        <v>21</v>
      </c>
      <c r="H307" s="23" t="s">
        <v>23</v>
      </c>
      <c r="I307" s="22">
        <v>6</v>
      </c>
      <c r="J307" s="22"/>
      <c r="K307" s="22">
        <v>2</v>
      </c>
      <c r="L307" s="22">
        <v>2</v>
      </c>
      <c r="M307" s="23"/>
    </row>
    <row r="308" spans="1:13" ht="30" x14ac:dyDescent="0.25">
      <c r="A308" s="19" t="s">
        <v>96</v>
      </c>
      <c r="B308" s="20"/>
      <c r="C308" s="21">
        <v>1</v>
      </c>
      <c r="D308" s="23" t="s">
        <v>1175</v>
      </c>
      <c r="E308" s="23" t="s">
        <v>1008</v>
      </c>
      <c r="F308" s="22"/>
      <c r="G308" s="23" t="s">
        <v>21</v>
      </c>
      <c r="H308" s="23" t="s">
        <v>23</v>
      </c>
      <c r="I308" s="22">
        <v>6</v>
      </c>
      <c r="J308" s="22">
        <v>3</v>
      </c>
      <c r="K308" s="22"/>
      <c r="L308" s="22"/>
      <c r="M308" s="24" t="s">
        <v>1176</v>
      </c>
    </row>
    <row r="309" spans="1:13" ht="30" x14ac:dyDescent="0.25">
      <c r="A309" s="19" t="s">
        <v>110</v>
      </c>
      <c r="B309" s="20"/>
      <c r="C309" s="21">
        <v>1</v>
      </c>
      <c r="D309" s="23" t="s">
        <v>1175</v>
      </c>
      <c r="E309" s="23" t="s">
        <v>1015</v>
      </c>
      <c r="F309" s="22"/>
      <c r="G309" s="23" t="s">
        <v>21</v>
      </c>
      <c r="H309" s="23" t="s">
        <v>23</v>
      </c>
      <c r="I309" s="22">
        <v>6</v>
      </c>
      <c r="J309" s="22"/>
      <c r="K309" s="22">
        <v>2</v>
      </c>
      <c r="L309" s="22"/>
      <c r="M309" s="24" t="s">
        <v>1198</v>
      </c>
    </row>
  </sheetData>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C105"/>
  <sheetViews>
    <sheetView workbookViewId="0"/>
  </sheetViews>
  <sheetFormatPr defaultRowHeight="15" x14ac:dyDescent="0.25"/>
  <cols>
    <col min="1" max="1" width="16.85546875" bestFit="1" customWidth="1"/>
    <col min="2" max="2" width="28.140625" bestFit="1" customWidth="1"/>
    <col min="3" max="3" width="93.5703125" bestFit="1" customWidth="1"/>
  </cols>
  <sheetData>
    <row r="1" spans="1:3" x14ac:dyDescent="0.25">
      <c r="A1" t="s">
        <v>176</v>
      </c>
      <c r="B1" t="s">
        <v>756</v>
      </c>
      <c r="C1" t="s">
        <v>141</v>
      </c>
    </row>
    <row r="2" spans="1:3" x14ac:dyDescent="0.25">
      <c r="A2" t="s">
        <v>701</v>
      </c>
      <c r="B2" t="s">
        <v>1590</v>
      </c>
      <c r="C2" t="s">
        <v>1962</v>
      </c>
    </row>
    <row r="3" spans="1:3" x14ac:dyDescent="0.25">
      <c r="A3" t="s">
        <v>701</v>
      </c>
      <c r="B3" t="s">
        <v>1587</v>
      </c>
      <c r="C3" t="s">
        <v>1588</v>
      </c>
    </row>
    <row r="4" spans="1:3" x14ac:dyDescent="0.25">
      <c r="A4" t="s">
        <v>701</v>
      </c>
      <c r="B4" t="s">
        <v>1583</v>
      </c>
      <c r="C4" t="s">
        <v>1064</v>
      </c>
    </row>
    <row r="5" spans="1:3" x14ac:dyDescent="0.25">
      <c r="A5" t="s">
        <v>701</v>
      </c>
      <c r="B5" t="s">
        <v>1586</v>
      </c>
      <c r="C5" t="s">
        <v>1064</v>
      </c>
    </row>
    <row r="6" spans="1:3" x14ac:dyDescent="0.25">
      <c r="A6" t="s">
        <v>701</v>
      </c>
      <c r="B6" t="s">
        <v>1585</v>
      </c>
      <c r="C6" t="s">
        <v>767</v>
      </c>
    </row>
    <row r="7" spans="1:3" x14ac:dyDescent="0.25">
      <c r="A7" t="s">
        <v>701</v>
      </c>
      <c r="B7" t="s">
        <v>1033</v>
      </c>
      <c r="C7" t="s">
        <v>1034</v>
      </c>
    </row>
    <row r="8" spans="1:3" x14ac:dyDescent="0.25">
      <c r="A8" t="s">
        <v>701</v>
      </c>
      <c r="B8" t="s">
        <v>1562</v>
      </c>
      <c r="C8" t="s">
        <v>1565</v>
      </c>
    </row>
    <row r="9" spans="1:3" x14ac:dyDescent="0.25">
      <c r="A9" t="s">
        <v>701</v>
      </c>
      <c r="B9" t="s">
        <v>1558</v>
      </c>
      <c r="C9" t="s">
        <v>1559</v>
      </c>
    </row>
    <row r="10" spans="1:3" x14ac:dyDescent="0.25">
      <c r="A10" t="s">
        <v>701</v>
      </c>
      <c r="B10" t="s">
        <v>1963</v>
      </c>
      <c r="C10" t="s">
        <v>1570</v>
      </c>
    </row>
    <row r="11" spans="1:3" x14ac:dyDescent="0.25">
      <c r="A11" t="s">
        <v>701</v>
      </c>
      <c r="B11" t="s">
        <v>1566</v>
      </c>
      <c r="C11" t="s">
        <v>1567</v>
      </c>
    </row>
    <row r="12" spans="1:3" x14ac:dyDescent="0.25">
      <c r="A12" t="s">
        <v>701</v>
      </c>
      <c r="B12" t="s">
        <v>1571</v>
      </c>
      <c r="C12" t="s">
        <v>1572</v>
      </c>
    </row>
    <row r="13" spans="1:3" x14ac:dyDescent="0.25">
      <c r="A13" t="s">
        <v>701</v>
      </c>
      <c r="B13" t="s">
        <v>1560</v>
      </c>
      <c r="C13" t="s">
        <v>1563</v>
      </c>
    </row>
    <row r="14" spans="1:3" x14ac:dyDescent="0.25">
      <c r="A14" t="s">
        <v>701</v>
      </c>
      <c r="B14" t="s">
        <v>1573</v>
      </c>
      <c r="C14" t="s">
        <v>1574</v>
      </c>
    </row>
    <row r="15" spans="1:3" x14ac:dyDescent="0.25">
      <c r="A15" t="s">
        <v>701</v>
      </c>
      <c r="B15" t="s">
        <v>1561</v>
      </c>
      <c r="C15" t="s">
        <v>1564</v>
      </c>
    </row>
    <row r="16" spans="1:3" x14ac:dyDescent="0.25">
      <c r="A16" t="s">
        <v>701</v>
      </c>
      <c r="B16" t="s">
        <v>1568</v>
      </c>
      <c r="C16" t="s">
        <v>1569</v>
      </c>
    </row>
    <row r="17" spans="1:3" x14ac:dyDescent="0.25">
      <c r="A17" t="s">
        <v>701</v>
      </c>
      <c r="B17" t="s">
        <v>1575</v>
      </c>
      <c r="C17" t="s">
        <v>1576</v>
      </c>
    </row>
    <row r="18" spans="1:3" x14ac:dyDescent="0.25">
      <c r="A18" t="s">
        <v>701</v>
      </c>
      <c r="B18" t="s">
        <v>1577</v>
      </c>
      <c r="C18" t="s">
        <v>1578</v>
      </c>
    </row>
    <row r="19" spans="1:3" x14ac:dyDescent="0.25">
      <c r="A19" t="s">
        <v>701</v>
      </c>
      <c r="B19" t="s">
        <v>1582</v>
      </c>
      <c r="C19" t="s">
        <v>1100</v>
      </c>
    </row>
    <row r="20" spans="1:3" x14ac:dyDescent="0.25">
      <c r="A20" t="s">
        <v>701</v>
      </c>
      <c r="B20" t="s">
        <v>1584</v>
      </c>
      <c r="C20" t="s">
        <v>767</v>
      </c>
    </row>
    <row r="21" spans="1:3" x14ac:dyDescent="0.25">
      <c r="A21" t="s">
        <v>701</v>
      </c>
      <c r="B21" t="s">
        <v>1580</v>
      </c>
      <c r="C21" t="s">
        <v>1581</v>
      </c>
    </row>
    <row r="22" spans="1:3" x14ac:dyDescent="0.25">
      <c r="A22" t="s">
        <v>701</v>
      </c>
      <c r="B22" t="s">
        <v>1579</v>
      </c>
      <c r="C22" t="s">
        <v>1094</v>
      </c>
    </row>
    <row r="23" spans="1:3" x14ac:dyDescent="0.25">
      <c r="A23" t="s">
        <v>701</v>
      </c>
      <c r="B23" t="s">
        <v>1589</v>
      </c>
      <c r="C23" t="s">
        <v>1064</v>
      </c>
    </row>
    <row r="24" spans="1:3" x14ac:dyDescent="0.25">
      <c r="A24" t="s">
        <v>701</v>
      </c>
      <c r="B24" t="s">
        <v>1591</v>
      </c>
      <c r="C24" t="s">
        <v>1964</v>
      </c>
    </row>
    <row r="25" spans="1:3" x14ac:dyDescent="0.25">
      <c r="A25" t="s">
        <v>523</v>
      </c>
      <c r="B25" t="s">
        <v>1549</v>
      </c>
      <c r="C25" t="s">
        <v>1550</v>
      </c>
    </row>
    <row r="26" spans="1:3" x14ac:dyDescent="0.25">
      <c r="A26" t="s">
        <v>523</v>
      </c>
      <c r="B26" t="s">
        <v>1551</v>
      </c>
      <c r="C26" t="s">
        <v>1053</v>
      </c>
    </row>
    <row r="27" spans="1:3" x14ac:dyDescent="0.25">
      <c r="A27" t="s">
        <v>523</v>
      </c>
      <c r="B27" t="s">
        <v>1544</v>
      </c>
      <c r="C27" t="s">
        <v>764</v>
      </c>
    </row>
    <row r="28" spans="1:3" x14ac:dyDescent="0.25">
      <c r="A28" t="s">
        <v>523</v>
      </c>
      <c r="B28" t="s">
        <v>1540</v>
      </c>
      <c r="C28" t="s">
        <v>1541</v>
      </c>
    </row>
    <row r="29" spans="1:3" x14ac:dyDescent="0.25">
      <c r="A29" t="s">
        <v>523</v>
      </c>
      <c r="B29" t="s">
        <v>1548</v>
      </c>
      <c r="C29" t="s">
        <v>1965</v>
      </c>
    </row>
    <row r="30" spans="1:3" x14ac:dyDescent="0.25">
      <c r="A30" t="s">
        <v>523</v>
      </c>
      <c r="B30" t="s">
        <v>1534</v>
      </c>
      <c r="C30" t="s">
        <v>1535</v>
      </c>
    </row>
    <row r="31" spans="1:3" x14ac:dyDescent="0.25">
      <c r="A31" t="s">
        <v>523</v>
      </c>
      <c r="B31" t="s">
        <v>1530</v>
      </c>
      <c r="C31" t="s">
        <v>1531</v>
      </c>
    </row>
    <row r="32" spans="1:3" x14ac:dyDescent="0.25">
      <c r="A32" t="s">
        <v>523</v>
      </c>
      <c r="B32" t="s">
        <v>1538</v>
      </c>
      <c r="C32" t="s">
        <v>1539</v>
      </c>
    </row>
    <row r="33" spans="1:3" x14ac:dyDescent="0.25">
      <c r="A33" t="s">
        <v>523</v>
      </c>
      <c r="B33" t="s">
        <v>1532</v>
      </c>
      <c r="C33" t="s">
        <v>1533</v>
      </c>
    </row>
    <row r="34" spans="1:3" x14ac:dyDescent="0.25">
      <c r="A34" t="s">
        <v>523</v>
      </c>
      <c r="B34" t="s">
        <v>1536</v>
      </c>
      <c r="C34" t="s">
        <v>1537</v>
      </c>
    </row>
    <row r="35" spans="1:3" x14ac:dyDescent="0.25">
      <c r="A35" t="s">
        <v>523</v>
      </c>
      <c r="B35" t="s">
        <v>1528</v>
      </c>
      <c r="C35" t="s">
        <v>1529</v>
      </c>
    </row>
    <row r="36" spans="1:3" x14ac:dyDescent="0.25">
      <c r="A36" t="s">
        <v>523</v>
      </c>
      <c r="B36" t="s">
        <v>1542</v>
      </c>
      <c r="C36" t="s">
        <v>1543</v>
      </c>
    </row>
    <row r="37" spans="1:3" x14ac:dyDescent="0.25">
      <c r="A37" t="s">
        <v>523</v>
      </c>
      <c r="B37" t="s">
        <v>1545</v>
      </c>
      <c r="C37" t="s">
        <v>1064</v>
      </c>
    </row>
    <row r="38" spans="1:3" x14ac:dyDescent="0.25">
      <c r="A38" t="s">
        <v>523</v>
      </c>
      <c r="B38" t="s">
        <v>1546</v>
      </c>
      <c r="C38" t="s">
        <v>1547</v>
      </c>
    </row>
    <row r="39" spans="1:3" x14ac:dyDescent="0.25">
      <c r="A39" t="s">
        <v>79</v>
      </c>
      <c r="B39" t="s">
        <v>1016</v>
      </c>
      <c r="C39" t="s">
        <v>1017</v>
      </c>
    </row>
    <row r="40" spans="1:3" x14ac:dyDescent="0.25">
      <c r="A40" t="s">
        <v>1043</v>
      </c>
      <c r="B40" t="s">
        <v>1048</v>
      </c>
      <c r="C40" t="s">
        <v>1049</v>
      </c>
    </row>
    <row r="41" spans="1:3" x14ac:dyDescent="0.25">
      <c r="A41" t="s">
        <v>1043</v>
      </c>
      <c r="B41" t="s">
        <v>1050</v>
      </c>
      <c r="C41" t="s">
        <v>1051</v>
      </c>
    </row>
    <row r="42" spans="1:3" x14ac:dyDescent="0.25">
      <c r="A42" t="s">
        <v>1043</v>
      </c>
      <c r="B42" t="s">
        <v>1060</v>
      </c>
      <c r="C42" t="s">
        <v>767</v>
      </c>
    </row>
    <row r="43" spans="1:3" x14ac:dyDescent="0.25">
      <c r="A43" t="s">
        <v>1043</v>
      </c>
      <c r="B43" t="s">
        <v>1054</v>
      </c>
      <c r="C43" t="s">
        <v>1055</v>
      </c>
    </row>
    <row r="44" spans="1:3" x14ac:dyDescent="0.25">
      <c r="A44" t="s">
        <v>1043</v>
      </c>
      <c r="B44" t="s">
        <v>1056</v>
      </c>
      <c r="C44" t="s">
        <v>1057</v>
      </c>
    </row>
    <row r="45" spans="1:3" x14ac:dyDescent="0.25">
      <c r="A45" t="s">
        <v>1043</v>
      </c>
      <c r="B45" t="s">
        <v>1044</v>
      </c>
      <c r="C45" t="s">
        <v>1045</v>
      </c>
    </row>
    <row r="46" spans="1:3" x14ac:dyDescent="0.25">
      <c r="A46" t="s">
        <v>1043</v>
      </c>
      <c r="B46" t="s">
        <v>1046</v>
      </c>
      <c r="C46" t="s">
        <v>1047</v>
      </c>
    </row>
    <row r="47" spans="1:3" x14ac:dyDescent="0.25">
      <c r="A47" t="s">
        <v>1043</v>
      </c>
      <c r="B47" t="s">
        <v>1063</v>
      </c>
      <c r="C47" t="s">
        <v>1064</v>
      </c>
    </row>
    <row r="48" spans="1:3" x14ac:dyDescent="0.25">
      <c r="A48" t="s">
        <v>1043</v>
      </c>
      <c r="B48" t="s">
        <v>1052</v>
      </c>
      <c r="C48" t="s">
        <v>1053</v>
      </c>
    </row>
    <row r="49" spans="1:3" x14ac:dyDescent="0.25">
      <c r="A49" t="s">
        <v>1043</v>
      </c>
      <c r="B49" t="s">
        <v>1061</v>
      </c>
      <c r="C49" t="s">
        <v>1062</v>
      </c>
    </row>
    <row r="50" spans="1:3" x14ac:dyDescent="0.25">
      <c r="A50" t="s">
        <v>1043</v>
      </c>
      <c r="B50" t="s">
        <v>1058</v>
      </c>
      <c r="C50" t="s">
        <v>1059</v>
      </c>
    </row>
    <row r="51" spans="1:3" x14ac:dyDescent="0.25">
      <c r="A51" t="s">
        <v>121</v>
      </c>
      <c r="B51" t="s">
        <v>1016</v>
      </c>
      <c r="C51" t="s">
        <v>1017</v>
      </c>
    </row>
    <row r="52" spans="1:3" x14ac:dyDescent="0.25">
      <c r="A52" t="s">
        <v>96</v>
      </c>
      <c r="B52" t="s">
        <v>1016</v>
      </c>
      <c r="C52" t="s">
        <v>1017</v>
      </c>
    </row>
    <row r="53" spans="1:3" x14ac:dyDescent="0.25">
      <c r="A53" t="s">
        <v>521</v>
      </c>
      <c r="B53" t="s">
        <v>1101</v>
      </c>
      <c r="C53" t="s">
        <v>764</v>
      </c>
    </row>
    <row r="54" spans="1:3" x14ac:dyDescent="0.25">
      <c r="A54" t="s">
        <v>521</v>
      </c>
      <c r="B54" t="s">
        <v>1089</v>
      </c>
      <c r="C54" t="s">
        <v>1090</v>
      </c>
    </row>
    <row r="55" spans="1:3" x14ac:dyDescent="0.25">
      <c r="A55" t="s">
        <v>521</v>
      </c>
      <c r="B55" t="s">
        <v>1102</v>
      </c>
      <c r="C55" t="s">
        <v>1103</v>
      </c>
    </row>
    <row r="56" spans="1:3" x14ac:dyDescent="0.25">
      <c r="A56" t="s">
        <v>521</v>
      </c>
      <c r="B56" t="s">
        <v>1097</v>
      </c>
      <c r="C56" t="s">
        <v>1098</v>
      </c>
    </row>
    <row r="57" spans="1:3" x14ac:dyDescent="0.25">
      <c r="A57" t="s">
        <v>521</v>
      </c>
      <c r="B57" t="s">
        <v>1073</v>
      </c>
      <c r="C57" t="s">
        <v>1074</v>
      </c>
    </row>
    <row r="58" spans="1:3" x14ac:dyDescent="0.25">
      <c r="A58" t="s">
        <v>521</v>
      </c>
      <c r="B58" t="s">
        <v>1081</v>
      </c>
      <c r="C58" t="s">
        <v>1082</v>
      </c>
    </row>
    <row r="59" spans="1:3" x14ac:dyDescent="0.25">
      <c r="A59" t="s">
        <v>521</v>
      </c>
      <c r="B59" t="s">
        <v>1067</v>
      </c>
      <c r="C59" t="s">
        <v>1068</v>
      </c>
    </row>
    <row r="60" spans="1:3" x14ac:dyDescent="0.25">
      <c r="A60" t="s">
        <v>521</v>
      </c>
      <c r="B60" t="s">
        <v>1075</v>
      </c>
      <c r="C60" t="s">
        <v>1076</v>
      </c>
    </row>
    <row r="61" spans="1:3" x14ac:dyDescent="0.25">
      <c r="A61" t="s">
        <v>521</v>
      </c>
      <c r="B61" t="s">
        <v>1065</v>
      </c>
      <c r="C61" t="s">
        <v>1066</v>
      </c>
    </row>
    <row r="62" spans="1:3" x14ac:dyDescent="0.25">
      <c r="A62" t="s">
        <v>521</v>
      </c>
      <c r="B62" t="s">
        <v>1071</v>
      </c>
      <c r="C62" t="s">
        <v>1072</v>
      </c>
    </row>
    <row r="63" spans="1:3" x14ac:dyDescent="0.25">
      <c r="A63" t="s">
        <v>521</v>
      </c>
      <c r="B63" t="s">
        <v>1077</v>
      </c>
      <c r="C63" t="s">
        <v>1078</v>
      </c>
    </row>
    <row r="64" spans="1:3" x14ac:dyDescent="0.25">
      <c r="A64" t="s">
        <v>521</v>
      </c>
      <c r="B64" t="s">
        <v>1079</v>
      </c>
      <c r="C64" t="s">
        <v>1080</v>
      </c>
    </row>
    <row r="65" spans="1:3" x14ac:dyDescent="0.25">
      <c r="A65" t="s">
        <v>521</v>
      </c>
      <c r="B65" t="s">
        <v>1069</v>
      </c>
      <c r="C65" t="s">
        <v>1070</v>
      </c>
    </row>
    <row r="66" spans="1:3" x14ac:dyDescent="0.25">
      <c r="A66" t="s">
        <v>521</v>
      </c>
      <c r="B66" t="s">
        <v>1093</v>
      </c>
      <c r="C66" t="s">
        <v>1053</v>
      </c>
    </row>
    <row r="67" spans="1:3" x14ac:dyDescent="0.25">
      <c r="A67" t="s">
        <v>521</v>
      </c>
      <c r="B67" t="s">
        <v>1083</v>
      </c>
      <c r="C67" t="s">
        <v>1084</v>
      </c>
    </row>
    <row r="68" spans="1:3" x14ac:dyDescent="0.25">
      <c r="A68" t="s">
        <v>521</v>
      </c>
      <c r="B68" t="s">
        <v>1099</v>
      </c>
      <c r="C68" t="s">
        <v>1100</v>
      </c>
    </row>
    <row r="69" spans="1:3" x14ac:dyDescent="0.25">
      <c r="A69" t="s">
        <v>521</v>
      </c>
      <c r="B69" t="s">
        <v>1085</v>
      </c>
      <c r="C69" t="s">
        <v>1086</v>
      </c>
    </row>
    <row r="70" spans="1:3" x14ac:dyDescent="0.25">
      <c r="A70" t="s">
        <v>521</v>
      </c>
      <c r="B70" t="s">
        <v>1966</v>
      </c>
      <c r="C70" t="s">
        <v>1094</v>
      </c>
    </row>
    <row r="71" spans="1:3" x14ac:dyDescent="0.25">
      <c r="A71" t="s">
        <v>521</v>
      </c>
      <c r="B71" t="s">
        <v>1095</v>
      </c>
      <c r="C71" t="s">
        <v>1096</v>
      </c>
    </row>
    <row r="72" spans="1:3" x14ac:dyDescent="0.25">
      <c r="A72" t="s">
        <v>521</v>
      </c>
      <c r="B72" t="s">
        <v>1087</v>
      </c>
      <c r="C72" t="s">
        <v>1088</v>
      </c>
    </row>
    <row r="73" spans="1:3" x14ac:dyDescent="0.25">
      <c r="A73" t="s">
        <v>521</v>
      </c>
      <c r="B73" t="s">
        <v>1091</v>
      </c>
      <c r="C73" t="s">
        <v>1092</v>
      </c>
    </row>
    <row r="74" spans="1:3" x14ac:dyDescent="0.25">
      <c r="A74" t="s">
        <v>1810</v>
      </c>
      <c r="B74" t="s">
        <v>1556</v>
      </c>
      <c r="C74" t="s">
        <v>1557</v>
      </c>
    </row>
    <row r="75" spans="1:3" x14ac:dyDescent="0.25">
      <c r="A75" t="s">
        <v>1810</v>
      </c>
      <c r="B75" t="s">
        <v>1554</v>
      </c>
      <c r="C75" t="s">
        <v>1555</v>
      </c>
    </row>
    <row r="76" spans="1:3" x14ac:dyDescent="0.25">
      <c r="A76" t="s">
        <v>1810</v>
      </c>
      <c r="B76" t="s">
        <v>1553</v>
      </c>
      <c r="C76" t="s">
        <v>1552</v>
      </c>
    </row>
    <row r="77" spans="1:3" x14ac:dyDescent="0.25">
      <c r="A77" t="s">
        <v>292</v>
      </c>
      <c r="B77" t="s">
        <v>1035</v>
      </c>
      <c r="C77" t="s">
        <v>1036</v>
      </c>
    </row>
    <row r="78" spans="1:3" x14ac:dyDescent="0.25">
      <c r="A78" t="s">
        <v>292</v>
      </c>
      <c r="B78" t="s">
        <v>1027</v>
      </c>
      <c r="C78" t="s">
        <v>1028</v>
      </c>
    </row>
    <row r="79" spans="1:3" x14ac:dyDescent="0.25">
      <c r="A79" t="s">
        <v>292</v>
      </c>
      <c r="B79" t="s">
        <v>1029</v>
      </c>
      <c r="C79" t="s">
        <v>1030</v>
      </c>
    </row>
    <row r="80" spans="1:3" x14ac:dyDescent="0.25">
      <c r="A80" t="s">
        <v>292</v>
      </c>
      <c r="B80" t="s">
        <v>1041</v>
      </c>
      <c r="C80" t="s">
        <v>1042</v>
      </c>
    </row>
    <row r="81" spans="1:3" x14ac:dyDescent="0.25">
      <c r="A81" t="s">
        <v>292</v>
      </c>
      <c r="B81" t="s">
        <v>1039</v>
      </c>
      <c r="C81" t="s">
        <v>1040</v>
      </c>
    </row>
    <row r="82" spans="1:3" x14ac:dyDescent="0.25">
      <c r="A82" t="s">
        <v>292</v>
      </c>
      <c r="B82" t="s">
        <v>1023</v>
      </c>
      <c r="C82" t="s">
        <v>1024</v>
      </c>
    </row>
    <row r="83" spans="1:3" x14ac:dyDescent="0.25">
      <c r="A83" t="s">
        <v>292</v>
      </c>
      <c r="B83" t="s">
        <v>1033</v>
      </c>
      <c r="C83" t="s">
        <v>1034</v>
      </c>
    </row>
    <row r="84" spans="1:3" x14ac:dyDescent="0.25">
      <c r="A84" t="s">
        <v>292</v>
      </c>
      <c r="B84" t="s">
        <v>1037</v>
      </c>
      <c r="C84" t="s">
        <v>1038</v>
      </c>
    </row>
    <row r="85" spans="1:3" x14ac:dyDescent="0.25">
      <c r="A85" t="s">
        <v>292</v>
      </c>
      <c r="B85" t="s">
        <v>1031</v>
      </c>
      <c r="C85" t="s">
        <v>1032</v>
      </c>
    </row>
    <row r="86" spans="1:3" x14ac:dyDescent="0.25">
      <c r="A86" t="s">
        <v>292</v>
      </c>
      <c r="B86" t="s">
        <v>1025</v>
      </c>
      <c r="C86" t="s">
        <v>1026</v>
      </c>
    </row>
    <row r="87" spans="1:3" x14ac:dyDescent="0.25">
      <c r="A87" t="s">
        <v>110</v>
      </c>
      <c r="B87" t="s">
        <v>1016</v>
      </c>
      <c r="C87" t="s">
        <v>1017</v>
      </c>
    </row>
    <row r="88" spans="1:3" x14ac:dyDescent="0.25">
      <c r="A88" t="s">
        <v>702</v>
      </c>
      <c r="B88" t="s">
        <v>774</v>
      </c>
      <c r="C88" t="s">
        <v>775</v>
      </c>
    </row>
    <row r="89" spans="1:3" x14ac:dyDescent="0.25">
      <c r="A89" t="s">
        <v>702</v>
      </c>
      <c r="B89" t="s">
        <v>778</v>
      </c>
      <c r="C89" t="s">
        <v>779</v>
      </c>
    </row>
    <row r="90" spans="1:3" x14ac:dyDescent="0.25">
      <c r="A90" t="s">
        <v>702</v>
      </c>
      <c r="B90" t="s">
        <v>757</v>
      </c>
      <c r="C90" t="s">
        <v>764</v>
      </c>
    </row>
    <row r="91" spans="1:3" x14ac:dyDescent="0.25">
      <c r="A91" t="s">
        <v>702</v>
      </c>
      <c r="B91" t="s">
        <v>758</v>
      </c>
      <c r="C91" t="s">
        <v>764</v>
      </c>
    </row>
    <row r="92" spans="1:3" x14ac:dyDescent="0.25">
      <c r="A92" t="s">
        <v>702</v>
      </c>
      <c r="B92" t="s">
        <v>759</v>
      </c>
      <c r="C92" t="s">
        <v>764</v>
      </c>
    </row>
    <row r="93" spans="1:3" x14ac:dyDescent="0.25">
      <c r="A93" t="s">
        <v>702</v>
      </c>
      <c r="B93" t="s">
        <v>1968</v>
      </c>
      <c r="C93" t="s">
        <v>1967</v>
      </c>
    </row>
    <row r="94" spans="1:3" x14ac:dyDescent="0.25">
      <c r="A94" t="s">
        <v>702</v>
      </c>
      <c r="B94" t="s">
        <v>762</v>
      </c>
      <c r="C94" t="s">
        <v>763</v>
      </c>
    </row>
    <row r="95" spans="1:3" x14ac:dyDescent="0.25">
      <c r="A95" t="s">
        <v>702</v>
      </c>
      <c r="B95" t="s">
        <v>761</v>
      </c>
      <c r="C95" t="s">
        <v>765</v>
      </c>
    </row>
    <row r="96" spans="1:3" x14ac:dyDescent="0.25">
      <c r="A96" t="s">
        <v>702</v>
      </c>
      <c r="B96" t="s">
        <v>766</v>
      </c>
      <c r="C96" t="s">
        <v>767</v>
      </c>
    </row>
    <row r="97" spans="1:3" x14ac:dyDescent="0.25">
      <c r="A97" t="s">
        <v>702</v>
      </c>
      <c r="B97" t="s">
        <v>780</v>
      </c>
      <c r="C97" t="s">
        <v>781</v>
      </c>
    </row>
    <row r="98" spans="1:3" x14ac:dyDescent="0.25">
      <c r="A98" t="s">
        <v>702</v>
      </c>
      <c r="B98" t="s">
        <v>760</v>
      </c>
      <c r="C98" t="s">
        <v>1064</v>
      </c>
    </row>
    <row r="99" spans="1:3" x14ac:dyDescent="0.25">
      <c r="A99" t="s">
        <v>702</v>
      </c>
      <c r="B99" t="s">
        <v>772</v>
      </c>
      <c r="C99" t="s">
        <v>773</v>
      </c>
    </row>
    <row r="100" spans="1:3" x14ac:dyDescent="0.25">
      <c r="A100" t="s">
        <v>702</v>
      </c>
      <c r="B100" t="s">
        <v>777</v>
      </c>
      <c r="C100" t="s">
        <v>776</v>
      </c>
    </row>
    <row r="101" spans="1:3" x14ac:dyDescent="0.25">
      <c r="A101" t="s">
        <v>702</v>
      </c>
      <c r="B101" t="s">
        <v>768</v>
      </c>
      <c r="C101" t="s">
        <v>769</v>
      </c>
    </row>
    <row r="102" spans="1:3" x14ac:dyDescent="0.25">
      <c r="A102" t="s">
        <v>702</v>
      </c>
      <c r="B102" t="s">
        <v>770</v>
      </c>
      <c r="C102" t="s">
        <v>771</v>
      </c>
    </row>
    <row r="103" spans="1:3" x14ac:dyDescent="0.25">
      <c r="A103" t="s">
        <v>300</v>
      </c>
      <c r="B103" t="s">
        <v>1022</v>
      </c>
      <c r="C103" t="s">
        <v>767</v>
      </c>
    </row>
    <row r="104" spans="1:3" x14ac:dyDescent="0.25">
      <c r="A104" t="s">
        <v>300</v>
      </c>
      <c r="B104" t="s">
        <v>1018</v>
      </c>
      <c r="C104" t="s">
        <v>1019</v>
      </c>
    </row>
    <row r="105" spans="1:3" x14ac:dyDescent="0.25">
      <c r="A105" t="s">
        <v>300</v>
      </c>
      <c r="B105" t="s">
        <v>1020</v>
      </c>
      <c r="C105" t="s">
        <v>1021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F17"/>
  <sheetViews>
    <sheetView workbookViewId="0"/>
  </sheetViews>
  <sheetFormatPr defaultRowHeight="15" x14ac:dyDescent="0.25"/>
  <cols>
    <col min="1" max="1" width="13.42578125" bestFit="1" customWidth="1"/>
    <col min="2" max="2" width="10.5703125" bestFit="1" customWidth="1"/>
    <col min="3" max="3" width="6.42578125" bestFit="1" customWidth="1"/>
    <col min="4" max="4" width="8.42578125" bestFit="1" customWidth="1"/>
    <col min="5" max="5" width="19.28515625" bestFit="1" customWidth="1"/>
    <col min="6" max="6" width="85" bestFit="1" customWidth="1"/>
  </cols>
  <sheetData>
    <row r="1" spans="1:6" x14ac:dyDescent="0.25">
      <c r="A1" s="10" t="s">
        <v>176</v>
      </c>
      <c r="B1" s="12" t="s">
        <v>135</v>
      </c>
      <c r="C1" s="14" t="s">
        <v>1104</v>
      </c>
      <c r="D1" s="14" t="s">
        <v>1267</v>
      </c>
      <c r="E1" s="13" t="s">
        <v>6</v>
      </c>
      <c r="F1" s="13" t="s">
        <v>141</v>
      </c>
    </row>
    <row r="2" spans="1:6" x14ac:dyDescent="0.25">
      <c r="A2" t="s">
        <v>701</v>
      </c>
      <c r="B2" t="s">
        <v>1483</v>
      </c>
      <c r="C2">
        <v>10</v>
      </c>
      <c r="D2">
        <v>0</v>
      </c>
      <c r="E2" t="s">
        <v>1265</v>
      </c>
      <c r="F2" t="s">
        <v>1266</v>
      </c>
    </row>
    <row r="3" spans="1:6" x14ac:dyDescent="0.25">
      <c r="A3" t="s">
        <v>701</v>
      </c>
      <c r="B3" t="s">
        <v>1484</v>
      </c>
      <c r="C3">
        <v>1</v>
      </c>
      <c r="D3">
        <v>1</v>
      </c>
      <c r="E3" t="s">
        <v>1491</v>
      </c>
      <c r="F3" t="s">
        <v>1492</v>
      </c>
    </row>
    <row r="4" spans="1:6" x14ac:dyDescent="0.25">
      <c r="A4" t="s">
        <v>701</v>
      </c>
      <c r="B4" t="s">
        <v>1485</v>
      </c>
      <c r="C4">
        <v>4</v>
      </c>
      <c r="D4">
        <v>2</v>
      </c>
      <c r="E4" t="s">
        <v>1270</v>
      </c>
      <c r="F4" t="s">
        <v>1271</v>
      </c>
    </row>
    <row r="5" spans="1:6" x14ac:dyDescent="0.25">
      <c r="A5" t="s">
        <v>701</v>
      </c>
      <c r="B5" t="s">
        <v>1486</v>
      </c>
      <c r="C5">
        <v>2</v>
      </c>
      <c r="D5">
        <v>3</v>
      </c>
      <c r="E5" t="s">
        <v>1493</v>
      </c>
      <c r="F5" s="2" t="s">
        <v>1494</v>
      </c>
    </row>
    <row r="6" spans="1:6" x14ac:dyDescent="0.25">
      <c r="A6" t="s">
        <v>701</v>
      </c>
      <c r="B6" t="s">
        <v>1487</v>
      </c>
      <c r="C6">
        <v>3</v>
      </c>
      <c r="D6">
        <v>4</v>
      </c>
      <c r="E6" t="s">
        <v>1274</v>
      </c>
      <c r="F6" t="s">
        <v>1275</v>
      </c>
    </row>
    <row r="7" spans="1:6" x14ac:dyDescent="0.25">
      <c r="A7" t="s">
        <v>701</v>
      </c>
      <c r="B7" t="s">
        <v>1488</v>
      </c>
      <c r="C7">
        <v>2</v>
      </c>
      <c r="D7">
        <v>5</v>
      </c>
      <c r="E7" t="s">
        <v>1277</v>
      </c>
      <c r="F7" t="s">
        <v>1276</v>
      </c>
    </row>
    <row r="8" spans="1:6" x14ac:dyDescent="0.25">
      <c r="A8" t="s">
        <v>701</v>
      </c>
      <c r="B8" t="s">
        <v>1489</v>
      </c>
      <c r="C8">
        <v>1</v>
      </c>
      <c r="D8">
        <v>6</v>
      </c>
      <c r="E8" t="s">
        <v>1495</v>
      </c>
      <c r="F8" t="s">
        <v>1496</v>
      </c>
    </row>
    <row r="9" spans="1:6" x14ac:dyDescent="0.25">
      <c r="A9" t="s">
        <v>701</v>
      </c>
      <c r="B9" t="s">
        <v>1490</v>
      </c>
      <c r="C9">
        <v>1</v>
      </c>
      <c r="D9">
        <v>7</v>
      </c>
      <c r="E9" t="s">
        <v>1497</v>
      </c>
      <c r="F9" t="s">
        <v>1498</v>
      </c>
    </row>
    <row r="10" spans="1:6" x14ac:dyDescent="0.25">
      <c r="A10" t="s">
        <v>521</v>
      </c>
      <c r="B10" t="s">
        <v>1257</v>
      </c>
      <c r="C10">
        <v>10</v>
      </c>
      <c r="D10">
        <v>0</v>
      </c>
      <c r="E10" t="s">
        <v>1265</v>
      </c>
      <c r="F10" t="s">
        <v>1266</v>
      </c>
    </row>
    <row r="11" spans="1:6" x14ac:dyDescent="0.25">
      <c r="A11" t="s">
        <v>521</v>
      </c>
      <c r="B11" t="s">
        <v>1258</v>
      </c>
      <c r="C11">
        <v>3</v>
      </c>
      <c r="D11">
        <v>1</v>
      </c>
      <c r="E11" t="s">
        <v>1268</v>
      </c>
      <c r="F11" t="s">
        <v>1269</v>
      </c>
    </row>
    <row r="12" spans="1:6" x14ac:dyDescent="0.25">
      <c r="A12" t="s">
        <v>521</v>
      </c>
      <c r="B12" t="s">
        <v>1259</v>
      </c>
      <c r="C12">
        <v>2</v>
      </c>
      <c r="D12">
        <v>2</v>
      </c>
      <c r="E12" t="s">
        <v>1270</v>
      </c>
      <c r="F12" t="s">
        <v>1271</v>
      </c>
    </row>
    <row r="13" spans="1:6" x14ac:dyDescent="0.25">
      <c r="A13" t="s">
        <v>521</v>
      </c>
      <c r="B13" t="s">
        <v>1260</v>
      </c>
      <c r="C13">
        <v>3</v>
      </c>
      <c r="D13">
        <v>3</v>
      </c>
      <c r="E13" t="s">
        <v>1272</v>
      </c>
      <c r="F13" t="s">
        <v>1273</v>
      </c>
    </row>
    <row r="14" spans="1:6" x14ac:dyDescent="0.25">
      <c r="A14" t="s">
        <v>521</v>
      </c>
      <c r="B14" t="s">
        <v>1261</v>
      </c>
      <c r="C14">
        <v>2</v>
      </c>
      <c r="D14">
        <v>4</v>
      </c>
      <c r="E14" t="s">
        <v>1274</v>
      </c>
      <c r="F14" t="s">
        <v>1275</v>
      </c>
    </row>
    <row r="15" spans="1:6" x14ac:dyDescent="0.25">
      <c r="A15" t="s">
        <v>521</v>
      </c>
      <c r="B15" t="s">
        <v>1262</v>
      </c>
      <c r="C15">
        <v>2</v>
      </c>
      <c r="D15">
        <v>5</v>
      </c>
      <c r="E15" t="s">
        <v>1277</v>
      </c>
      <c r="F15" t="s">
        <v>1276</v>
      </c>
    </row>
    <row r="16" spans="1:6" x14ac:dyDescent="0.25">
      <c r="A16" t="s">
        <v>521</v>
      </c>
      <c r="B16" t="s">
        <v>1263</v>
      </c>
      <c r="C16">
        <v>1</v>
      </c>
      <c r="D16">
        <v>6</v>
      </c>
      <c r="E16" t="s">
        <v>1278</v>
      </c>
      <c r="F16" t="s">
        <v>1610</v>
      </c>
    </row>
    <row r="17" spans="1:6" x14ac:dyDescent="0.25">
      <c r="A17" t="s">
        <v>521</v>
      </c>
      <c r="B17" t="s">
        <v>1264</v>
      </c>
      <c r="C17">
        <v>1</v>
      </c>
      <c r="D17">
        <v>7</v>
      </c>
      <c r="E17" t="s">
        <v>1279</v>
      </c>
      <c r="F17" t="s">
        <v>1280</v>
      </c>
    </row>
  </sheetData>
  <pageMargins left="0.7" right="0.7" top="0.75" bottom="0.75" header="0.3" footer="0.3"/>
  <pageSetup orientation="portrait" horizontalDpi="4294967293" verticalDpi="4294967293"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F41"/>
  <sheetViews>
    <sheetView workbookViewId="0"/>
  </sheetViews>
  <sheetFormatPr defaultRowHeight="15" x14ac:dyDescent="0.25"/>
  <cols>
    <col min="1" max="1" width="16.85546875" bestFit="1" customWidth="1"/>
    <col min="2" max="2" width="10.5703125" bestFit="1" customWidth="1"/>
    <col min="3" max="3" width="6.42578125" bestFit="1" customWidth="1"/>
    <col min="4" max="4" width="19.5703125" bestFit="1" customWidth="1"/>
    <col min="5" max="5" width="12.28515625" bestFit="1" customWidth="1"/>
    <col min="6" max="6" width="141.7109375" bestFit="1" customWidth="1"/>
  </cols>
  <sheetData>
    <row r="1" spans="1:6" x14ac:dyDescent="0.25">
      <c r="A1" s="10" t="s">
        <v>176</v>
      </c>
      <c r="B1" s="12" t="s">
        <v>135</v>
      </c>
      <c r="C1" s="14" t="s">
        <v>1104</v>
      </c>
      <c r="D1" s="13" t="s">
        <v>6</v>
      </c>
      <c r="E1" s="13" t="s">
        <v>10</v>
      </c>
      <c r="F1" s="13" t="s">
        <v>141</v>
      </c>
    </row>
    <row r="2" spans="1:6" x14ac:dyDescent="0.25">
      <c r="A2" t="s">
        <v>523</v>
      </c>
      <c r="B2" t="s">
        <v>1500</v>
      </c>
      <c r="C2">
        <v>2</v>
      </c>
      <c r="D2" t="s">
        <v>1187</v>
      </c>
      <c r="E2" t="s">
        <v>1499</v>
      </c>
      <c r="F2" t="s">
        <v>1512</v>
      </c>
    </row>
    <row r="3" spans="1:6" x14ac:dyDescent="0.25">
      <c r="A3" t="s">
        <v>523</v>
      </c>
      <c r="B3" t="s">
        <v>1501</v>
      </c>
      <c r="C3">
        <v>2</v>
      </c>
      <c r="D3" t="s">
        <v>1187</v>
      </c>
      <c r="E3" t="s">
        <v>1499</v>
      </c>
      <c r="F3" t="s">
        <v>1513</v>
      </c>
    </row>
    <row r="4" spans="1:6" x14ac:dyDescent="0.25">
      <c r="A4" t="s">
        <v>523</v>
      </c>
      <c r="B4" t="s">
        <v>1502</v>
      </c>
      <c r="C4">
        <v>1</v>
      </c>
      <c r="D4" t="s">
        <v>1229</v>
      </c>
      <c r="E4" t="s">
        <v>1499</v>
      </c>
      <c r="F4" t="s">
        <v>1514</v>
      </c>
    </row>
    <row r="5" spans="1:6" x14ac:dyDescent="0.25">
      <c r="A5" t="s">
        <v>523</v>
      </c>
      <c r="B5" t="s">
        <v>1503</v>
      </c>
      <c r="C5">
        <v>1</v>
      </c>
      <c r="D5" t="s">
        <v>1229</v>
      </c>
      <c r="E5" t="s">
        <v>1499</v>
      </c>
      <c r="F5" t="s">
        <v>1515</v>
      </c>
    </row>
    <row r="6" spans="1:6" x14ac:dyDescent="0.25">
      <c r="A6" t="s">
        <v>523</v>
      </c>
      <c r="B6" t="s">
        <v>1504</v>
      </c>
      <c r="C6">
        <v>1</v>
      </c>
      <c r="D6" t="s">
        <v>1516</v>
      </c>
      <c r="E6" t="s">
        <v>1499</v>
      </c>
      <c r="F6" t="s">
        <v>1517</v>
      </c>
    </row>
    <row r="7" spans="1:6" x14ac:dyDescent="0.25">
      <c r="A7" t="s">
        <v>523</v>
      </c>
      <c r="B7" t="s">
        <v>1505</v>
      </c>
      <c r="C7">
        <v>1</v>
      </c>
      <c r="D7" t="s">
        <v>1246</v>
      </c>
      <c r="E7" t="s">
        <v>1499</v>
      </c>
      <c r="F7" t="s">
        <v>1518</v>
      </c>
    </row>
    <row r="8" spans="1:6" x14ac:dyDescent="0.25">
      <c r="A8" t="s">
        <v>523</v>
      </c>
      <c r="B8" t="s">
        <v>1506</v>
      </c>
      <c r="C8">
        <v>1</v>
      </c>
      <c r="D8" t="s">
        <v>1519</v>
      </c>
      <c r="E8" t="s">
        <v>1499</v>
      </c>
      <c r="F8" t="s">
        <v>1520</v>
      </c>
    </row>
    <row r="9" spans="1:6" x14ac:dyDescent="0.25">
      <c r="A9" t="s">
        <v>523</v>
      </c>
      <c r="B9" t="s">
        <v>1507</v>
      </c>
      <c r="C9">
        <v>1</v>
      </c>
      <c r="D9" t="s">
        <v>1521</v>
      </c>
      <c r="E9" t="s">
        <v>1499</v>
      </c>
      <c r="F9" t="s">
        <v>1522</v>
      </c>
    </row>
    <row r="10" spans="1:6" x14ac:dyDescent="0.25">
      <c r="A10" t="s">
        <v>523</v>
      </c>
      <c r="B10" t="s">
        <v>1508</v>
      </c>
      <c r="C10">
        <v>1</v>
      </c>
      <c r="D10" t="s">
        <v>1523</v>
      </c>
      <c r="E10" t="s">
        <v>1499</v>
      </c>
      <c r="F10" t="s">
        <v>1969</v>
      </c>
    </row>
    <row r="11" spans="1:6" x14ac:dyDescent="0.25">
      <c r="A11" t="s">
        <v>523</v>
      </c>
      <c r="B11" t="s">
        <v>1509</v>
      </c>
      <c r="C11">
        <v>1</v>
      </c>
      <c r="D11" t="s">
        <v>1524</v>
      </c>
      <c r="E11" t="s">
        <v>1499</v>
      </c>
      <c r="F11" t="s">
        <v>1525</v>
      </c>
    </row>
    <row r="12" spans="1:6" x14ac:dyDescent="0.25">
      <c r="A12" t="s">
        <v>523</v>
      </c>
      <c r="B12" t="s">
        <v>1510</v>
      </c>
      <c r="C12">
        <v>1</v>
      </c>
      <c r="D12" t="s">
        <v>1234</v>
      </c>
      <c r="E12" t="s">
        <v>1499</v>
      </c>
      <c r="F12" t="s">
        <v>1235</v>
      </c>
    </row>
    <row r="13" spans="1:6" x14ac:dyDescent="0.25">
      <c r="A13" t="s">
        <v>523</v>
      </c>
      <c r="B13" t="s">
        <v>1511</v>
      </c>
      <c r="C13">
        <v>1</v>
      </c>
      <c r="D13" t="s">
        <v>1526</v>
      </c>
      <c r="E13" t="s">
        <v>1499</v>
      </c>
      <c r="F13" t="s">
        <v>1527</v>
      </c>
    </row>
    <row r="14" spans="1:6" x14ac:dyDescent="0.25">
      <c r="A14" t="s">
        <v>79</v>
      </c>
      <c r="B14" t="s">
        <v>1192</v>
      </c>
      <c r="C14">
        <v>4</v>
      </c>
      <c r="D14" t="s">
        <v>1187</v>
      </c>
      <c r="E14" t="s">
        <v>1189</v>
      </c>
      <c r="F14" t="s">
        <v>1188</v>
      </c>
    </row>
    <row r="15" spans="1:6" x14ac:dyDescent="0.25">
      <c r="A15" t="s">
        <v>79</v>
      </c>
      <c r="B15" t="s">
        <v>1191</v>
      </c>
      <c r="C15">
        <v>4</v>
      </c>
      <c r="D15" t="s">
        <v>1183</v>
      </c>
      <c r="E15" t="s">
        <v>1189</v>
      </c>
      <c r="F15" t="s">
        <v>1184</v>
      </c>
    </row>
    <row r="16" spans="1:6" x14ac:dyDescent="0.25">
      <c r="A16" t="s">
        <v>79</v>
      </c>
      <c r="B16" t="s">
        <v>1190</v>
      </c>
      <c r="C16">
        <v>4</v>
      </c>
      <c r="D16" t="s">
        <v>1194</v>
      </c>
      <c r="E16" t="s">
        <v>1189</v>
      </c>
      <c r="F16" t="s">
        <v>1195</v>
      </c>
    </row>
    <row r="17" spans="1:6" x14ac:dyDescent="0.25">
      <c r="A17" t="s">
        <v>79</v>
      </c>
      <c r="B17" t="s">
        <v>1193</v>
      </c>
      <c r="C17">
        <v>2</v>
      </c>
      <c r="D17" t="s">
        <v>1196</v>
      </c>
      <c r="E17" t="s">
        <v>1189</v>
      </c>
      <c r="F17" t="s">
        <v>1197</v>
      </c>
    </row>
    <row r="18" spans="1:6" x14ac:dyDescent="0.25">
      <c r="A18" t="s">
        <v>121</v>
      </c>
      <c r="B18" t="s">
        <v>1209</v>
      </c>
      <c r="C18">
        <v>4</v>
      </c>
      <c r="D18" t="s">
        <v>1187</v>
      </c>
      <c r="E18" t="s">
        <v>1189</v>
      </c>
      <c r="F18" t="s">
        <v>1188</v>
      </c>
    </row>
    <row r="19" spans="1:6" x14ac:dyDescent="0.25">
      <c r="A19" t="s">
        <v>121</v>
      </c>
      <c r="B19" t="s">
        <v>1208</v>
      </c>
      <c r="C19">
        <v>4</v>
      </c>
      <c r="D19" t="s">
        <v>1183</v>
      </c>
      <c r="E19" t="s">
        <v>1189</v>
      </c>
      <c r="F19" t="s">
        <v>1184</v>
      </c>
    </row>
    <row r="20" spans="1:6" x14ac:dyDescent="0.25">
      <c r="A20" t="s">
        <v>121</v>
      </c>
      <c r="B20" t="s">
        <v>1207</v>
      </c>
      <c r="C20">
        <v>4</v>
      </c>
      <c r="D20" t="s">
        <v>1211</v>
      </c>
      <c r="E20" t="s">
        <v>1189</v>
      </c>
      <c r="F20" t="s">
        <v>1212</v>
      </c>
    </row>
    <row r="21" spans="1:6" x14ac:dyDescent="0.25">
      <c r="A21" t="s">
        <v>121</v>
      </c>
      <c r="B21" t="s">
        <v>1210</v>
      </c>
      <c r="C21">
        <v>2</v>
      </c>
      <c r="D21" t="s">
        <v>1213</v>
      </c>
      <c r="E21" t="s">
        <v>1189</v>
      </c>
      <c r="F21" t="s">
        <v>1214</v>
      </c>
    </row>
    <row r="22" spans="1:6" x14ac:dyDescent="0.25">
      <c r="A22" t="s">
        <v>96</v>
      </c>
      <c r="B22" t="s">
        <v>1181</v>
      </c>
      <c r="C22">
        <v>4</v>
      </c>
      <c r="D22" t="s">
        <v>1187</v>
      </c>
      <c r="E22" t="s">
        <v>1189</v>
      </c>
      <c r="F22" t="s">
        <v>1188</v>
      </c>
    </row>
    <row r="23" spans="1:6" x14ac:dyDescent="0.25">
      <c r="A23" t="s">
        <v>96</v>
      </c>
      <c r="B23" t="s">
        <v>1180</v>
      </c>
      <c r="C23">
        <v>4</v>
      </c>
      <c r="D23" t="s">
        <v>1183</v>
      </c>
      <c r="E23" t="s">
        <v>1189</v>
      </c>
      <c r="F23" t="s">
        <v>1184</v>
      </c>
    </row>
    <row r="24" spans="1:6" x14ac:dyDescent="0.25">
      <c r="A24" t="s">
        <v>96</v>
      </c>
      <c r="B24" t="s">
        <v>1177</v>
      </c>
      <c r="C24">
        <v>4</v>
      </c>
      <c r="D24" t="s">
        <v>1178</v>
      </c>
      <c r="E24" t="s">
        <v>1189</v>
      </c>
      <c r="F24" t="s">
        <v>1179</v>
      </c>
    </row>
    <row r="25" spans="1:6" x14ac:dyDescent="0.25">
      <c r="A25" t="s">
        <v>96</v>
      </c>
      <c r="B25" t="s">
        <v>1182</v>
      </c>
      <c r="C25">
        <v>2</v>
      </c>
      <c r="D25" t="s">
        <v>1185</v>
      </c>
      <c r="E25" t="s">
        <v>1189</v>
      </c>
      <c r="F25" t="s">
        <v>1186</v>
      </c>
    </row>
    <row r="26" spans="1:6" x14ac:dyDescent="0.25">
      <c r="A26" t="s">
        <v>521</v>
      </c>
      <c r="B26" t="s">
        <v>1215</v>
      </c>
      <c r="C26">
        <v>2</v>
      </c>
      <c r="D26" t="s">
        <v>1187</v>
      </c>
      <c r="E26" t="s">
        <v>40</v>
      </c>
      <c r="F26" t="s">
        <v>1227</v>
      </c>
    </row>
    <row r="27" spans="1:6" x14ac:dyDescent="0.25">
      <c r="A27" t="s">
        <v>521</v>
      </c>
      <c r="B27" t="s">
        <v>1216</v>
      </c>
      <c r="C27">
        <v>2</v>
      </c>
      <c r="D27" t="s">
        <v>1187</v>
      </c>
      <c r="E27" t="s">
        <v>40</v>
      </c>
      <c r="F27" t="s">
        <v>1228</v>
      </c>
    </row>
    <row r="28" spans="1:6" x14ac:dyDescent="0.25">
      <c r="A28" t="s">
        <v>521</v>
      </c>
      <c r="B28" t="s">
        <v>1217</v>
      </c>
      <c r="C28">
        <v>1</v>
      </c>
      <c r="D28" t="s">
        <v>1229</v>
      </c>
      <c r="E28" t="s">
        <v>40</v>
      </c>
      <c r="F28" t="s">
        <v>1230</v>
      </c>
    </row>
    <row r="29" spans="1:6" x14ac:dyDescent="0.25">
      <c r="A29" t="s">
        <v>521</v>
      </c>
      <c r="B29" t="s">
        <v>1218</v>
      </c>
      <c r="C29">
        <v>1</v>
      </c>
      <c r="D29" t="s">
        <v>1229</v>
      </c>
      <c r="E29" t="s">
        <v>40</v>
      </c>
      <c r="F29" t="s">
        <v>1231</v>
      </c>
    </row>
    <row r="30" spans="1:6" x14ac:dyDescent="0.25">
      <c r="A30" t="s">
        <v>521</v>
      </c>
      <c r="B30" t="s">
        <v>1219</v>
      </c>
      <c r="C30">
        <v>1</v>
      </c>
      <c r="D30" t="s">
        <v>1232</v>
      </c>
      <c r="E30" t="s">
        <v>40</v>
      </c>
      <c r="F30" t="s">
        <v>1233</v>
      </c>
    </row>
    <row r="31" spans="1:6" x14ac:dyDescent="0.25">
      <c r="A31" t="s">
        <v>521</v>
      </c>
      <c r="B31" t="s">
        <v>1220</v>
      </c>
      <c r="C31">
        <v>1</v>
      </c>
      <c r="D31" t="s">
        <v>1234</v>
      </c>
      <c r="E31" t="s">
        <v>40</v>
      </c>
      <c r="F31" t="s">
        <v>1235</v>
      </c>
    </row>
    <row r="32" spans="1:6" x14ac:dyDescent="0.25">
      <c r="A32" t="s">
        <v>521</v>
      </c>
      <c r="B32" t="s">
        <v>1221</v>
      </c>
      <c r="C32">
        <v>1</v>
      </c>
      <c r="D32" t="s">
        <v>1236</v>
      </c>
      <c r="E32" t="s">
        <v>40</v>
      </c>
      <c r="F32" t="s">
        <v>1237</v>
      </c>
    </row>
    <row r="33" spans="1:6" x14ac:dyDescent="0.25">
      <c r="A33" t="s">
        <v>521</v>
      </c>
      <c r="B33" t="s">
        <v>1222</v>
      </c>
      <c r="C33">
        <v>1</v>
      </c>
      <c r="D33" t="s">
        <v>1238</v>
      </c>
      <c r="E33" t="s">
        <v>40</v>
      </c>
      <c r="F33" t="s">
        <v>1239</v>
      </c>
    </row>
    <row r="34" spans="1:6" x14ac:dyDescent="0.25">
      <c r="A34" t="s">
        <v>521</v>
      </c>
      <c r="B34" t="s">
        <v>1223</v>
      </c>
      <c r="C34">
        <v>1</v>
      </c>
      <c r="D34" t="s">
        <v>1240</v>
      </c>
      <c r="E34" t="s">
        <v>40</v>
      </c>
      <c r="F34" t="s">
        <v>1241</v>
      </c>
    </row>
    <row r="35" spans="1:6" x14ac:dyDescent="0.25">
      <c r="A35" t="s">
        <v>521</v>
      </c>
      <c r="B35" t="s">
        <v>1224</v>
      </c>
      <c r="C35">
        <v>1</v>
      </c>
      <c r="D35" t="s">
        <v>1242</v>
      </c>
      <c r="E35" t="s">
        <v>40</v>
      </c>
      <c r="F35" t="s">
        <v>1243</v>
      </c>
    </row>
    <row r="36" spans="1:6" x14ac:dyDescent="0.25">
      <c r="A36" t="s">
        <v>521</v>
      </c>
      <c r="B36" t="s">
        <v>1225</v>
      </c>
      <c r="C36">
        <v>1</v>
      </c>
      <c r="D36" t="s">
        <v>1244</v>
      </c>
      <c r="E36" t="s">
        <v>40</v>
      </c>
      <c r="F36" t="s">
        <v>1245</v>
      </c>
    </row>
    <row r="37" spans="1:6" x14ac:dyDescent="0.25">
      <c r="A37" t="s">
        <v>521</v>
      </c>
      <c r="B37" t="s">
        <v>1226</v>
      </c>
      <c r="C37">
        <v>1</v>
      </c>
      <c r="D37" t="s">
        <v>1246</v>
      </c>
      <c r="E37" t="s">
        <v>40</v>
      </c>
      <c r="F37" t="s">
        <v>1247</v>
      </c>
    </row>
    <row r="38" spans="1:6" x14ac:dyDescent="0.25">
      <c r="A38" t="s">
        <v>110</v>
      </c>
      <c r="B38" t="s">
        <v>1201</v>
      </c>
      <c r="C38">
        <v>4</v>
      </c>
      <c r="D38" t="s">
        <v>1187</v>
      </c>
      <c r="E38" t="s">
        <v>1189</v>
      </c>
      <c r="F38" t="s">
        <v>1188</v>
      </c>
    </row>
    <row r="39" spans="1:6" x14ac:dyDescent="0.25">
      <c r="A39" t="s">
        <v>110</v>
      </c>
      <c r="B39" t="s">
        <v>1200</v>
      </c>
      <c r="C39">
        <v>4</v>
      </c>
      <c r="D39" t="s">
        <v>1183</v>
      </c>
      <c r="E39" t="s">
        <v>1189</v>
      </c>
      <c r="F39" t="s">
        <v>1184</v>
      </c>
    </row>
    <row r="40" spans="1:6" x14ac:dyDescent="0.25">
      <c r="A40" t="s">
        <v>110</v>
      </c>
      <c r="B40" t="s">
        <v>1199</v>
      </c>
      <c r="C40">
        <v>4</v>
      </c>
      <c r="D40" t="s">
        <v>1203</v>
      </c>
      <c r="E40" t="s">
        <v>1189</v>
      </c>
      <c r="F40" t="s">
        <v>1204</v>
      </c>
    </row>
    <row r="41" spans="1:6" x14ac:dyDescent="0.25">
      <c r="A41" t="s">
        <v>110</v>
      </c>
      <c r="B41" t="s">
        <v>1202</v>
      </c>
      <c r="C41">
        <v>2</v>
      </c>
      <c r="D41" t="s">
        <v>1205</v>
      </c>
      <c r="E41" t="s">
        <v>1189</v>
      </c>
      <c r="F41" t="s">
        <v>1206</v>
      </c>
    </row>
  </sheetData>
  <pageMargins left="0.7" right="0.7" top="0.75" bottom="0.75" header="0.3" footer="0.3"/>
  <pageSetup orientation="portrait" horizontalDpi="4294967293" verticalDpi="4294967293"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F145"/>
  <sheetViews>
    <sheetView workbookViewId="0"/>
  </sheetViews>
  <sheetFormatPr defaultRowHeight="15" x14ac:dyDescent="0.25"/>
  <cols>
    <col min="1" max="1" width="30.42578125" bestFit="1" customWidth="1"/>
    <col min="2" max="2" width="21.7109375" customWidth="1"/>
    <col min="3" max="3" width="6.5703125" bestFit="1" customWidth="1"/>
    <col min="4" max="4" width="5.7109375" bestFit="1" customWidth="1"/>
    <col min="5" max="5" width="22.7109375" bestFit="1" customWidth="1"/>
    <col min="6" max="6" width="116.85546875" style="35" customWidth="1"/>
  </cols>
  <sheetData>
    <row r="1" spans="1:6" x14ac:dyDescent="0.25">
      <c r="A1" t="s">
        <v>176</v>
      </c>
      <c r="B1" t="s">
        <v>6</v>
      </c>
      <c r="C1" t="s">
        <v>140</v>
      </c>
      <c r="D1" t="s">
        <v>139</v>
      </c>
      <c r="E1" t="s">
        <v>793</v>
      </c>
      <c r="F1" s="35" t="s">
        <v>794</v>
      </c>
    </row>
    <row r="2" spans="1:6" s="47" customFormat="1" x14ac:dyDescent="0.25">
      <c r="A2" s="40" t="s">
        <v>1871</v>
      </c>
      <c r="B2" s="40" t="s">
        <v>1870</v>
      </c>
      <c r="C2" s="40">
        <v>2</v>
      </c>
      <c r="D2" s="40">
        <v>3</v>
      </c>
      <c r="E2" s="40"/>
      <c r="F2" s="40" t="s">
        <v>1872</v>
      </c>
    </row>
    <row r="3" spans="1:6" x14ac:dyDescent="0.25">
      <c r="A3" s="23" t="s">
        <v>701</v>
      </c>
      <c r="B3" s="23" t="s">
        <v>1723</v>
      </c>
      <c r="C3" s="23">
        <v>4</v>
      </c>
      <c r="D3" s="23">
        <v>4</v>
      </c>
      <c r="E3" s="23" t="s">
        <v>1724</v>
      </c>
      <c r="F3" s="23" t="s">
        <v>1873</v>
      </c>
    </row>
    <row r="4" spans="1:6" x14ac:dyDescent="0.25">
      <c r="A4" s="23" t="s">
        <v>701</v>
      </c>
      <c r="B4" s="23" t="s">
        <v>1750</v>
      </c>
      <c r="C4" s="23">
        <v>2</v>
      </c>
      <c r="D4" s="23">
        <v>4</v>
      </c>
      <c r="E4" s="23" t="s">
        <v>1751</v>
      </c>
      <c r="F4" s="23" t="s">
        <v>1970</v>
      </c>
    </row>
    <row r="5" spans="1:6" x14ac:dyDescent="0.25">
      <c r="A5" s="23" t="s">
        <v>701</v>
      </c>
      <c r="B5" s="23" t="s">
        <v>1734</v>
      </c>
      <c r="C5" s="23">
        <v>1</v>
      </c>
      <c r="D5" s="23">
        <v>5</v>
      </c>
      <c r="E5" s="23" t="s">
        <v>1735</v>
      </c>
      <c r="F5" s="23" t="s">
        <v>1736</v>
      </c>
    </row>
    <row r="6" spans="1:6" x14ac:dyDescent="0.25">
      <c r="A6" s="23" t="s">
        <v>701</v>
      </c>
      <c r="B6" s="23" t="s">
        <v>1752</v>
      </c>
      <c r="C6" s="23">
        <v>2</v>
      </c>
      <c r="D6" s="23">
        <v>4</v>
      </c>
      <c r="E6" s="23" t="s">
        <v>1753</v>
      </c>
      <c r="F6" s="23" t="s">
        <v>1754</v>
      </c>
    </row>
    <row r="7" spans="1:6" x14ac:dyDescent="0.25">
      <c r="A7" s="23" t="s">
        <v>701</v>
      </c>
      <c r="B7" s="23" t="s">
        <v>1740</v>
      </c>
      <c r="C7" s="23">
        <v>3</v>
      </c>
      <c r="D7" s="23">
        <v>3</v>
      </c>
      <c r="E7" s="23" t="s">
        <v>1741</v>
      </c>
      <c r="F7" s="23" t="s">
        <v>1742</v>
      </c>
    </row>
    <row r="8" spans="1:6" x14ac:dyDescent="0.25">
      <c r="A8" s="23" t="s">
        <v>701</v>
      </c>
      <c r="B8" s="23" t="s">
        <v>1731</v>
      </c>
      <c r="C8" s="23">
        <v>2</v>
      </c>
      <c r="D8" s="23">
        <v>4</v>
      </c>
      <c r="E8" s="23" t="s">
        <v>1732</v>
      </c>
      <c r="F8" s="23" t="s">
        <v>1733</v>
      </c>
    </row>
    <row r="9" spans="1:6" x14ac:dyDescent="0.25">
      <c r="A9" s="23" t="s">
        <v>701</v>
      </c>
      <c r="B9" s="23" t="s">
        <v>1737</v>
      </c>
      <c r="C9" s="23">
        <v>1</v>
      </c>
      <c r="D9" s="23">
        <v>5</v>
      </c>
      <c r="E9" s="23" t="s">
        <v>1738</v>
      </c>
      <c r="F9" s="23" t="s">
        <v>1739</v>
      </c>
    </row>
    <row r="10" spans="1:6" x14ac:dyDescent="0.25">
      <c r="A10" s="23" t="s">
        <v>701</v>
      </c>
      <c r="B10" s="23" t="s">
        <v>1728</v>
      </c>
      <c r="C10" s="23">
        <v>3</v>
      </c>
      <c r="D10" s="23">
        <v>3</v>
      </c>
      <c r="E10" s="23" t="s">
        <v>1729</v>
      </c>
      <c r="F10" s="23" t="s">
        <v>1730</v>
      </c>
    </row>
    <row r="11" spans="1:6" x14ac:dyDescent="0.25">
      <c r="A11" s="23" t="s">
        <v>701</v>
      </c>
      <c r="B11" s="23" t="s">
        <v>1743</v>
      </c>
      <c r="C11" s="23">
        <v>2</v>
      </c>
      <c r="D11" s="23">
        <v>3</v>
      </c>
      <c r="E11" s="23" t="s">
        <v>1744</v>
      </c>
      <c r="F11" s="23" t="s">
        <v>1745</v>
      </c>
    </row>
    <row r="12" spans="1:6" x14ac:dyDescent="0.25">
      <c r="A12" s="23" t="s">
        <v>701</v>
      </c>
      <c r="B12" s="23" t="s">
        <v>1725</v>
      </c>
      <c r="C12" s="23">
        <v>2</v>
      </c>
      <c r="D12" s="23">
        <v>3</v>
      </c>
      <c r="E12" s="23" t="s">
        <v>1726</v>
      </c>
      <c r="F12" s="23" t="s">
        <v>1727</v>
      </c>
    </row>
    <row r="13" spans="1:6" x14ac:dyDescent="0.25">
      <c r="A13" s="23" t="s">
        <v>701</v>
      </c>
      <c r="B13" s="23" t="s">
        <v>1854</v>
      </c>
      <c r="C13" s="23">
        <v>2</v>
      </c>
      <c r="D13" s="23">
        <v>3</v>
      </c>
      <c r="E13" s="23" t="s">
        <v>1747</v>
      </c>
      <c r="F13" s="23" t="s">
        <v>1748</v>
      </c>
    </row>
    <row r="14" spans="1:6" x14ac:dyDescent="0.25">
      <c r="A14" s="23" t="s">
        <v>701</v>
      </c>
      <c r="B14" s="23" t="s">
        <v>1746</v>
      </c>
      <c r="C14" s="23">
        <v>2</v>
      </c>
      <c r="D14" s="23">
        <v>4</v>
      </c>
      <c r="E14" s="23" t="s">
        <v>1749</v>
      </c>
      <c r="F14" s="23" t="s">
        <v>1971</v>
      </c>
    </row>
    <row r="15" spans="1:6" x14ac:dyDescent="0.25">
      <c r="A15" s="23" t="s">
        <v>1957</v>
      </c>
      <c r="B15" s="23" t="s">
        <v>1807</v>
      </c>
      <c r="C15" s="23">
        <v>3</v>
      </c>
      <c r="D15" s="23">
        <v>2</v>
      </c>
      <c r="E15" s="23" t="s">
        <v>1808</v>
      </c>
      <c r="F15" s="23" t="s">
        <v>1809</v>
      </c>
    </row>
    <row r="16" spans="1:6" s="15" customFormat="1" x14ac:dyDescent="0.25">
      <c r="A16" s="23" t="s">
        <v>1957</v>
      </c>
      <c r="B16" s="23" t="s">
        <v>1787</v>
      </c>
      <c r="C16" s="23">
        <v>4</v>
      </c>
      <c r="D16" s="23">
        <v>2</v>
      </c>
      <c r="E16" s="23" t="s">
        <v>1788</v>
      </c>
      <c r="F16" s="23" t="s">
        <v>1789</v>
      </c>
    </row>
    <row r="17" spans="1:6" x14ac:dyDescent="0.25">
      <c r="A17" s="23" t="s">
        <v>1957</v>
      </c>
      <c r="B17" s="23" t="s">
        <v>1781</v>
      </c>
      <c r="C17" s="23">
        <v>3</v>
      </c>
      <c r="D17" s="23">
        <v>3</v>
      </c>
      <c r="E17" s="23" t="s">
        <v>1782</v>
      </c>
      <c r="F17" s="23" t="s">
        <v>1783</v>
      </c>
    </row>
    <row r="18" spans="1:6" x14ac:dyDescent="0.25">
      <c r="A18" s="23" t="s">
        <v>1957</v>
      </c>
      <c r="B18" s="23" t="s">
        <v>1832</v>
      </c>
      <c r="C18" s="23">
        <v>3</v>
      </c>
      <c r="D18" s="23">
        <v>3</v>
      </c>
      <c r="E18" s="23" t="s">
        <v>1833</v>
      </c>
      <c r="F18" s="23" t="s">
        <v>1834</v>
      </c>
    </row>
    <row r="19" spans="1:6" x14ac:dyDescent="0.25">
      <c r="A19" s="23" t="s">
        <v>1957</v>
      </c>
      <c r="B19" s="23" t="s">
        <v>1804</v>
      </c>
      <c r="C19" s="23">
        <v>2</v>
      </c>
      <c r="D19" s="23">
        <v>4</v>
      </c>
      <c r="E19" s="23" t="s">
        <v>1805</v>
      </c>
      <c r="F19" s="23" t="s">
        <v>1806</v>
      </c>
    </row>
    <row r="20" spans="1:6" x14ac:dyDescent="0.25">
      <c r="A20" s="23" t="s">
        <v>1957</v>
      </c>
      <c r="B20" s="23" t="s">
        <v>1816</v>
      </c>
      <c r="C20" s="23">
        <v>2</v>
      </c>
      <c r="D20" s="23">
        <v>4</v>
      </c>
      <c r="E20" s="23" t="s">
        <v>1817</v>
      </c>
      <c r="F20" s="23" t="s">
        <v>1818</v>
      </c>
    </row>
    <row r="21" spans="1:6" x14ac:dyDescent="0.25">
      <c r="A21" s="23" t="s">
        <v>1957</v>
      </c>
      <c r="B21" s="23" t="s">
        <v>1827</v>
      </c>
      <c r="C21" s="23">
        <v>2</v>
      </c>
      <c r="D21" s="23">
        <v>4</v>
      </c>
      <c r="E21" s="23" t="s">
        <v>1827</v>
      </c>
      <c r="F21" s="23" t="s">
        <v>1828</v>
      </c>
    </row>
    <row r="22" spans="1:6" s="15" customFormat="1" x14ac:dyDescent="0.25">
      <c r="A22" s="23" t="s">
        <v>1957</v>
      </c>
      <c r="B22" s="23" t="s">
        <v>1838</v>
      </c>
      <c r="C22" s="23">
        <v>2</v>
      </c>
      <c r="D22" s="23">
        <v>4</v>
      </c>
      <c r="E22" s="23" t="s">
        <v>1839</v>
      </c>
      <c r="F22" s="23" t="s">
        <v>1840</v>
      </c>
    </row>
    <row r="23" spans="1:6" x14ac:dyDescent="0.25">
      <c r="A23" s="23" t="s">
        <v>1957</v>
      </c>
      <c r="B23" s="23" t="s">
        <v>1796</v>
      </c>
      <c r="C23" s="23">
        <v>5</v>
      </c>
      <c r="D23" s="23">
        <v>2</v>
      </c>
      <c r="E23" s="23" t="s">
        <v>1797</v>
      </c>
      <c r="F23" s="23" t="s">
        <v>1798</v>
      </c>
    </row>
    <row r="24" spans="1:6" x14ac:dyDescent="0.25">
      <c r="A24" s="23" t="s">
        <v>1957</v>
      </c>
      <c r="B24" s="23" t="s">
        <v>1790</v>
      </c>
      <c r="C24" s="23">
        <v>2</v>
      </c>
      <c r="D24" s="23">
        <v>4</v>
      </c>
      <c r="E24" s="23" t="s">
        <v>1791</v>
      </c>
      <c r="F24" s="23" t="s">
        <v>1792</v>
      </c>
    </row>
    <row r="25" spans="1:6" x14ac:dyDescent="0.25">
      <c r="A25" s="23" t="s">
        <v>1957</v>
      </c>
      <c r="B25" s="23" t="s">
        <v>1761</v>
      </c>
      <c r="C25" s="23">
        <v>2</v>
      </c>
      <c r="D25" s="23">
        <v>4</v>
      </c>
      <c r="E25" s="23" t="s">
        <v>1762</v>
      </c>
      <c r="F25" s="23" t="s">
        <v>1763</v>
      </c>
    </row>
    <row r="26" spans="1:6" x14ac:dyDescent="0.25">
      <c r="A26" s="23" t="s">
        <v>1957</v>
      </c>
      <c r="B26" s="23" t="s">
        <v>1784</v>
      </c>
      <c r="C26" s="23">
        <v>3</v>
      </c>
      <c r="D26" s="23">
        <v>3</v>
      </c>
      <c r="E26" s="23" t="s">
        <v>1785</v>
      </c>
      <c r="F26" s="23" t="s">
        <v>1786</v>
      </c>
    </row>
    <row r="27" spans="1:6" x14ac:dyDescent="0.25">
      <c r="A27" s="23" t="s">
        <v>1957</v>
      </c>
      <c r="B27" s="23" t="s">
        <v>1793</v>
      </c>
      <c r="C27" s="23">
        <v>1</v>
      </c>
      <c r="D27" s="23">
        <v>5</v>
      </c>
      <c r="E27" s="23" t="s">
        <v>1794</v>
      </c>
      <c r="F27" s="23" t="s">
        <v>1795</v>
      </c>
    </row>
    <row r="28" spans="1:6" x14ac:dyDescent="0.25">
      <c r="A28" s="23" t="s">
        <v>1957</v>
      </c>
      <c r="B28" s="23" t="s">
        <v>1824</v>
      </c>
      <c r="C28" s="23">
        <v>1</v>
      </c>
      <c r="D28" s="23">
        <v>1</v>
      </c>
      <c r="E28" s="23" t="s">
        <v>1825</v>
      </c>
      <c r="F28" s="24" t="s">
        <v>1826</v>
      </c>
    </row>
    <row r="29" spans="1:6" s="15" customFormat="1" ht="30" x14ac:dyDescent="0.25">
      <c r="A29" s="23" t="s">
        <v>1957</v>
      </c>
      <c r="B29" s="23" t="s">
        <v>1778</v>
      </c>
      <c r="C29" s="23">
        <v>3</v>
      </c>
      <c r="D29" s="23">
        <v>3</v>
      </c>
      <c r="E29" s="23" t="s">
        <v>1779</v>
      </c>
      <c r="F29" s="23" t="s">
        <v>1780</v>
      </c>
    </row>
    <row r="30" spans="1:6" x14ac:dyDescent="0.25">
      <c r="A30" s="23" t="s">
        <v>1957</v>
      </c>
      <c r="B30" s="23" t="s">
        <v>1764</v>
      </c>
      <c r="C30" s="23">
        <v>3</v>
      </c>
      <c r="D30" s="23">
        <v>3</v>
      </c>
      <c r="E30" s="23" t="s">
        <v>914</v>
      </c>
      <c r="F30" s="23" t="s">
        <v>1765</v>
      </c>
    </row>
    <row r="31" spans="1:6" ht="17.25" customHeight="1" x14ac:dyDescent="0.25">
      <c r="A31" s="23" t="s">
        <v>1957</v>
      </c>
      <c r="B31" s="23" t="s">
        <v>1821</v>
      </c>
      <c r="C31" s="23">
        <v>1</v>
      </c>
      <c r="D31" s="23">
        <v>4</v>
      </c>
      <c r="E31" s="23" t="s">
        <v>1822</v>
      </c>
      <c r="F31" s="23" t="s">
        <v>1823</v>
      </c>
    </row>
    <row r="32" spans="1:6" x14ac:dyDescent="0.25">
      <c r="A32" s="23" t="s">
        <v>1957</v>
      </c>
      <c r="B32" s="23" t="s">
        <v>1835</v>
      </c>
      <c r="C32" s="23">
        <v>3</v>
      </c>
      <c r="D32" s="23">
        <v>3</v>
      </c>
      <c r="E32" s="23" t="s">
        <v>1836</v>
      </c>
      <c r="F32" s="23" t="s">
        <v>1837</v>
      </c>
    </row>
    <row r="33" spans="1:6" x14ac:dyDescent="0.25">
      <c r="A33" s="23" t="s">
        <v>1957</v>
      </c>
      <c r="B33" s="23" t="s">
        <v>1799</v>
      </c>
      <c r="C33" s="23">
        <v>3</v>
      </c>
      <c r="D33" s="23">
        <v>3</v>
      </c>
      <c r="E33" s="23" t="s">
        <v>1800</v>
      </c>
      <c r="F33" s="24" t="s">
        <v>1801</v>
      </c>
    </row>
    <row r="34" spans="1:6" x14ac:dyDescent="0.25">
      <c r="A34" s="23" t="s">
        <v>1957</v>
      </c>
      <c r="B34" s="23" t="s">
        <v>1819</v>
      </c>
      <c r="C34" s="23">
        <v>1</v>
      </c>
      <c r="D34" s="23">
        <v>4</v>
      </c>
      <c r="E34" s="23" t="s">
        <v>1820</v>
      </c>
      <c r="F34" s="23" t="s">
        <v>1972</v>
      </c>
    </row>
    <row r="35" spans="1:6" x14ac:dyDescent="0.25">
      <c r="A35" s="23" t="s">
        <v>1957</v>
      </c>
      <c r="B35" s="23" t="s">
        <v>1772</v>
      </c>
      <c r="C35" s="23">
        <v>1</v>
      </c>
      <c r="D35" s="23">
        <v>5</v>
      </c>
      <c r="E35" s="23" t="s">
        <v>1773</v>
      </c>
      <c r="F35" s="23" t="s">
        <v>1774</v>
      </c>
    </row>
    <row r="36" spans="1:6" x14ac:dyDescent="0.25">
      <c r="A36" s="23" t="s">
        <v>1957</v>
      </c>
      <c r="B36" s="23" t="s">
        <v>1829</v>
      </c>
      <c r="C36" s="23">
        <v>3</v>
      </c>
      <c r="D36" s="23">
        <v>3</v>
      </c>
      <c r="E36" s="23" t="s">
        <v>1830</v>
      </c>
      <c r="F36" s="23" t="s">
        <v>1831</v>
      </c>
    </row>
    <row r="37" spans="1:6" s="15" customFormat="1" x14ac:dyDescent="0.25">
      <c r="A37" s="23" t="s">
        <v>1957</v>
      </c>
      <c r="B37" s="23" t="s">
        <v>1802</v>
      </c>
      <c r="C37" s="23">
        <v>1</v>
      </c>
      <c r="D37" s="23">
        <v>4</v>
      </c>
      <c r="E37" s="23" t="s">
        <v>1803</v>
      </c>
      <c r="F37" s="23" t="s">
        <v>1973</v>
      </c>
    </row>
    <row r="38" spans="1:6" x14ac:dyDescent="0.25">
      <c r="A38" s="23" t="s">
        <v>1957</v>
      </c>
      <c r="B38" s="23" t="s">
        <v>1810</v>
      </c>
      <c r="C38" s="23">
        <v>0</v>
      </c>
      <c r="D38" s="23">
        <v>6</v>
      </c>
      <c r="E38" s="23" t="s">
        <v>1811</v>
      </c>
      <c r="F38" s="23" t="s">
        <v>1812</v>
      </c>
    </row>
    <row r="39" spans="1:6" x14ac:dyDescent="0.25">
      <c r="A39" s="23" t="s">
        <v>1957</v>
      </c>
      <c r="B39" s="23" t="s">
        <v>1769</v>
      </c>
      <c r="C39" s="23">
        <v>3</v>
      </c>
      <c r="D39" s="23">
        <v>3</v>
      </c>
      <c r="E39" s="23" t="s">
        <v>1770</v>
      </c>
      <c r="F39" s="23" t="s">
        <v>1771</v>
      </c>
    </row>
    <row r="40" spans="1:6" x14ac:dyDescent="0.25">
      <c r="A40" s="23" t="s">
        <v>1952</v>
      </c>
      <c r="B40" s="23" t="s">
        <v>1813</v>
      </c>
      <c r="C40" s="23">
        <v>2</v>
      </c>
      <c r="D40" s="23">
        <v>3</v>
      </c>
      <c r="E40" s="23" t="s">
        <v>1814</v>
      </c>
      <c r="F40" s="23" t="s">
        <v>1815</v>
      </c>
    </row>
    <row r="41" spans="1:6" x14ac:dyDescent="0.25">
      <c r="A41" s="23" t="s">
        <v>1952</v>
      </c>
      <c r="B41" s="23" t="s">
        <v>1766</v>
      </c>
      <c r="C41" s="23">
        <v>2</v>
      </c>
      <c r="D41" s="23">
        <v>4</v>
      </c>
      <c r="E41" s="23" t="s">
        <v>1767</v>
      </c>
      <c r="F41" s="23" t="s">
        <v>1768</v>
      </c>
    </row>
    <row r="42" spans="1:6" x14ac:dyDescent="0.25">
      <c r="A42" s="23" t="s">
        <v>523</v>
      </c>
      <c r="B42" s="23" t="s">
        <v>1758</v>
      </c>
      <c r="C42" s="23">
        <v>2</v>
      </c>
      <c r="D42" s="23">
        <v>4</v>
      </c>
      <c r="E42" s="23" t="s">
        <v>1759</v>
      </c>
      <c r="F42" s="23" t="s">
        <v>1760</v>
      </c>
    </row>
    <row r="43" spans="1:6" x14ac:dyDescent="0.25">
      <c r="A43" s="23" t="s">
        <v>523</v>
      </c>
      <c r="B43" s="23" t="s">
        <v>1755</v>
      </c>
      <c r="C43" s="23">
        <v>2</v>
      </c>
      <c r="D43" s="23">
        <v>4</v>
      </c>
      <c r="E43" s="23" t="s">
        <v>1756</v>
      </c>
      <c r="F43" s="23" t="s">
        <v>1757</v>
      </c>
    </row>
    <row r="44" spans="1:6" ht="30" x14ac:dyDescent="0.25">
      <c r="A44" s="23" t="s">
        <v>1953</v>
      </c>
      <c r="B44" s="23" t="s">
        <v>1775</v>
      </c>
      <c r="C44" s="23">
        <v>3</v>
      </c>
      <c r="D44" s="23">
        <v>3</v>
      </c>
      <c r="E44" s="23" t="s">
        <v>1776</v>
      </c>
      <c r="F44" s="23" t="s">
        <v>1777</v>
      </c>
    </row>
    <row r="45" spans="1:6" x14ac:dyDescent="0.25">
      <c r="A45" s="23" t="s">
        <v>1954</v>
      </c>
      <c r="B45" s="23" t="s">
        <v>1382</v>
      </c>
      <c r="C45" s="23">
        <v>2</v>
      </c>
      <c r="D45" s="23">
        <v>4</v>
      </c>
      <c r="E45" s="23" t="s">
        <v>1383</v>
      </c>
      <c r="F45" s="23" t="s">
        <v>1384</v>
      </c>
    </row>
    <row r="46" spans="1:6" s="47" customFormat="1" x14ac:dyDescent="0.25">
      <c r="A46" s="40" t="s">
        <v>1875</v>
      </c>
      <c r="B46" s="40" t="s">
        <v>1851</v>
      </c>
      <c r="C46" s="40">
        <v>1</v>
      </c>
      <c r="D46" s="40">
        <v>5</v>
      </c>
      <c r="E46" s="40" t="s">
        <v>1888</v>
      </c>
      <c r="F46" s="40" t="s">
        <v>1887</v>
      </c>
    </row>
    <row r="47" spans="1:6" s="47" customFormat="1" x14ac:dyDescent="0.25">
      <c r="A47" s="40" t="s">
        <v>1875</v>
      </c>
      <c r="B47" s="40" t="s">
        <v>1852</v>
      </c>
      <c r="C47" s="40">
        <v>2</v>
      </c>
      <c r="D47" s="40">
        <v>4</v>
      </c>
      <c r="E47" s="40" t="s">
        <v>1886</v>
      </c>
      <c r="F47" s="40" t="s">
        <v>1861</v>
      </c>
    </row>
    <row r="48" spans="1:6" s="47" customFormat="1" x14ac:dyDescent="0.25">
      <c r="A48" s="40" t="s">
        <v>1875</v>
      </c>
      <c r="B48" s="40" t="s">
        <v>1592</v>
      </c>
      <c r="C48" s="40">
        <v>3</v>
      </c>
      <c r="D48" s="40">
        <v>3</v>
      </c>
      <c r="E48" s="40" t="s">
        <v>1593</v>
      </c>
      <c r="F48" s="40" t="s">
        <v>1594</v>
      </c>
    </row>
    <row r="49" spans="1:6" s="47" customFormat="1" x14ac:dyDescent="0.25">
      <c r="A49" s="40" t="s">
        <v>1875</v>
      </c>
      <c r="B49" s="40" t="s">
        <v>1595</v>
      </c>
      <c r="C49" s="40">
        <v>2</v>
      </c>
      <c r="D49" s="40">
        <v>4</v>
      </c>
      <c r="E49" s="40" t="s">
        <v>1596</v>
      </c>
      <c r="F49" s="40" t="s">
        <v>1597</v>
      </c>
    </row>
    <row r="50" spans="1:6" s="47" customFormat="1" x14ac:dyDescent="0.25">
      <c r="A50" s="40" t="s">
        <v>1875</v>
      </c>
      <c r="B50" s="40" t="s">
        <v>1598</v>
      </c>
      <c r="C50" s="40">
        <v>1</v>
      </c>
      <c r="D50" s="40">
        <v>5</v>
      </c>
      <c r="E50" s="40" t="s">
        <v>1599</v>
      </c>
      <c r="F50" s="40" t="s">
        <v>1600</v>
      </c>
    </row>
    <row r="51" spans="1:6" s="47" customFormat="1" x14ac:dyDescent="0.25">
      <c r="A51" s="40" t="s">
        <v>1875</v>
      </c>
      <c r="B51" s="40" t="s">
        <v>1848</v>
      </c>
      <c r="C51" s="40">
        <v>2</v>
      </c>
      <c r="D51" s="40">
        <v>4</v>
      </c>
      <c r="E51" s="40" t="s">
        <v>1858</v>
      </c>
      <c r="F51" s="40" t="s">
        <v>1974</v>
      </c>
    </row>
    <row r="52" spans="1:6" x14ac:dyDescent="0.25">
      <c r="A52" s="40" t="s">
        <v>1875</v>
      </c>
      <c r="B52" s="23" t="s">
        <v>1601</v>
      </c>
      <c r="C52" s="23">
        <v>1</v>
      </c>
      <c r="D52" s="23">
        <v>5</v>
      </c>
      <c r="E52" s="23" t="s">
        <v>1602</v>
      </c>
      <c r="F52" s="23" t="s">
        <v>1603</v>
      </c>
    </row>
    <row r="53" spans="1:6" s="47" customFormat="1" x14ac:dyDescent="0.25">
      <c r="A53" s="40" t="s">
        <v>1875</v>
      </c>
      <c r="B53" s="40" t="s">
        <v>1847</v>
      </c>
      <c r="C53" s="40">
        <v>1</v>
      </c>
      <c r="D53" s="40">
        <v>5</v>
      </c>
      <c r="E53" s="40" t="s">
        <v>1859</v>
      </c>
      <c r="F53" s="40" t="s">
        <v>1860</v>
      </c>
    </row>
    <row r="54" spans="1:6" x14ac:dyDescent="0.25">
      <c r="A54" s="40" t="s">
        <v>1875</v>
      </c>
      <c r="B54" s="23" t="s">
        <v>1604</v>
      </c>
      <c r="C54" s="23">
        <v>2</v>
      </c>
      <c r="D54" s="23">
        <v>4</v>
      </c>
      <c r="E54" s="23" t="s">
        <v>1605</v>
      </c>
      <c r="F54" s="23" t="s">
        <v>1606</v>
      </c>
    </row>
    <row r="55" spans="1:6" x14ac:dyDescent="0.25">
      <c r="A55" s="40" t="s">
        <v>1875</v>
      </c>
      <c r="B55" s="23" t="s">
        <v>1607</v>
      </c>
      <c r="C55" s="23">
        <v>2</v>
      </c>
      <c r="D55" s="23">
        <v>4</v>
      </c>
      <c r="E55" s="23" t="s">
        <v>1608</v>
      </c>
      <c r="F55" s="23" t="s">
        <v>1609</v>
      </c>
    </row>
    <row r="56" spans="1:6" x14ac:dyDescent="0.25">
      <c r="A56" s="23" t="s">
        <v>1955</v>
      </c>
      <c r="B56" s="23" t="s">
        <v>1328</v>
      </c>
      <c r="C56" s="23">
        <v>2</v>
      </c>
      <c r="D56" s="23">
        <v>4</v>
      </c>
      <c r="E56" s="23" t="s">
        <v>1329</v>
      </c>
      <c r="F56" s="23" t="s">
        <v>1330</v>
      </c>
    </row>
    <row r="57" spans="1:6" x14ac:dyDescent="0.25">
      <c r="A57" s="23" t="s">
        <v>1956</v>
      </c>
      <c r="B57" s="23" t="s">
        <v>1478</v>
      </c>
      <c r="C57" s="23">
        <v>2</v>
      </c>
      <c r="D57" s="23">
        <v>3</v>
      </c>
      <c r="E57" s="23" t="s">
        <v>1479</v>
      </c>
      <c r="F57" s="23" t="s">
        <v>1480</v>
      </c>
    </row>
    <row r="58" spans="1:6" s="43" customFormat="1" x14ac:dyDescent="0.25">
      <c r="A58" s="42" t="s">
        <v>521</v>
      </c>
      <c r="B58" s="42" t="s">
        <v>949</v>
      </c>
      <c r="C58" s="42">
        <v>3</v>
      </c>
      <c r="D58" s="42">
        <v>4</v>
      </c>
      <c r="E58" s="42" t="s">
        <v>1165</v>
      </c>
      <c r="F58" s="42" t="s">
        <v>1166</v>
      </c>
    </row>
    <row r="59" spans="1:6" s="43" customFormat="1" x14ac:dyDescent="0.25">
      <c r="A59" s="42" t="s">
        <v>521</v>
      </c>
      <c r="B59" s="42" t="s">
        <v>946</v>
      </c>
      <c r="C59" s="42">
        <v>3</v>
      </c>
      <c r="D59" s="42">
        <v>4</v>
      </c>
      <c r="E59" s="42" t="s">
        <v>1169</v>
      </c>
      <c r="F59" s="42" t="s">
        <v>1170</v>
      </c>
    </row>
    <row r="60" spans="1:6" x14ac:dyDescent="0.25">
      <c r="A60" s="23" t="s">
        <v>521</v>
      </c>
      <c r="B60" s="23" t="s">
        <v>1465</v>
      </c>
      <c r="C60" s="23">
        <v>0</v>
      </c>
      <c r="D60" s="23">
        <v>7</v>
      </c>
      <c r="E60" s="23" t="s">
        <v>1466</v>
      </c>
      <c r="F60" s="23" t="s">
        <v>1873</v>
      </c>
    </row>
    <row r="61" spans="1:6" x14ac:dyDescent="0.25">
      <c r="A61" s="23" t="s">
        <v>521</v>
      </c>
      <c r="B61" s="23" t="s">
        <v>1319</v>
      </c>
      <c r="C61" s="23">
        <v>1</v>
      </c>
      <c r="D61" s="23">
        <v>4</v>
      </c>
      <c r="E61" s="23" t="s">
        <v>1320</v>
      </c>
      <c r="F61" s="23" t="s">
        <v>1321</v>
      </c>
    </row>
    <row r="62" spans="1:6" x14ac:dyDescent="0.25">
      <c r="A62" s="23" t="s">
        <v>521</v>
      </c>
      <c r="B62" s="23" t="s">
        <v>1343</v>
      </c>
      <c r="C62" s="23">
        <v>2</v>
      </c>
      <c r="D62" s="23">
        <v>4</v>
      </c>
      <c r="E62" s="23" t="s">
        <v>1344</v>
      </c>
      <c r="F62" s="23" t="s">
        <v>1345</v>
      </c>
    </row>
    <row r="63" spans="1:6" ht="19.5" customHeight="1" x14ac:dyDescent="0.25">
      <c r="A63" s="23" t="s">
        <v>521</v>
      </c>
      <c r="B63" s="23" t="s">
        <v>1325</v>
      </c>
      <c r="C63" s="23">
        <v>2</v>
      </c>
      <c r="D63" s="23">
        <v>4</v>
      </c>
      <c r="E63" s="23" t="s">
        <v>1326</v>
      </c>
      <c r="F63" s="23" t="s">
        <v>1327</v>
      </c>
    </row>
    <row r="64" spans="1:6" ht="18.75" customHeight="1" x14ac:dyDescent="0.25">
      <c r="A64" s="23" t="s">
        <v>521</v>
      </c>
      <c r="B64" s="23" t="s">
        <v>1281</v>
      </c>
      <c r="C64" s="23">
        <v>3</v>
      </c>
      <c r="D64" s="23">
        <v>3</v>
      </c>
      <c r="E64" s="23" t="s">
        <v>1282</v>
      </c>
      <c r="F64" s="23" t="s">
        <v>1283</v>
      </c>
    </row>
    <row r="65" spans="1:6" x14ac:dyDescent="0.25">
      <c r="A65" s="23" t="s">
        <v>521</v>
      </c>
      <c r="B65" s="23" t="s">
        <v>1337</v>
      </c>
      <c r="C65" s="23">
        <v>3</v>
      </c>
      <c r="D65" s="23">
        <v>3</v>
      </c>
      <c r="E65" s="23" t="s">
        <v>1338</v>
      </c>
      <c r="F65" s="23" t="s">
        <v>1339</v>
      </c>
    </row>
    <row r="66" spans="1:6" s="43" customFormat="1" x14ac:dyDescent="0.25">
      <c r="A66" s="42" t="s">
        <v>521</v>
      </c>
      <c r="B66" s="42" t="s">
        <v>958</v>
      </c>
      <c r="C66" s="42">
        <v>2</v>
      </c>
      <c r="D66" s="42">
        <v>5</v>
      </c>
      <c r="E66" s="42" t="s">
        <v>1173</v>
      </c>
      <c r="F66" s="42" t="s">
        <v>1174</v>
      </c>
    </row>
    <row r="67" spans="1:6" x14ac:dyDescent="0.25">
      <c r="A67" s="23" t="s">
        <v>521</v>
      </c>
      <c r="B67" s="23" t="s">
        <v>1459</v>
      </c>
      <c r="C67" s="23">
        <v>3</v>
      </c>
      <c r="D67" s="23">
        <v>3</v>
      </c>
      <c r="E67" s="23" t="s">
        <v>1460</v>
      </c>
      <c r="F67" s="24" t="s">
        <v>1461</v>
      </c>
    </row>
    <row r="68" spans="1:6" s="43" customFormat="1" ht="30" x14ac:dyDescent="0.25">
      <c r="A68" s="42" t="s">
        <v>521</v>
      </c>
      <c r="B68" s="42" t="s">
        <v>952</v>
      </c>
      <c r="C68" s="42">
        <v>1</v>
      </c>
      <c r="D68" s="42">
        <v>6</v>
      </c>
      <c r="E68" s="42" t="s">
        <v>1167</v>
      </c>
      <c r="F68" s="42" t="s">
        <v>1168</v>
      </c>
    </row>
    <row r="69" spans="1:6" x14ac:dyDescent="0.25">
      <c r="A69" s="23" t="s">
        <v>521</v>
      </c>
      <c r="B69" s="23" t="s">
        <v>1390</v>
      </c>
      <c r="C69" s="23">
        <v>1</v>
      </c>
      <c r="D69" s="23">
        <v>4</v>
      </c>
      <c r="E69" s="23" t="s">
        <v>1391</v>
      </c>
      <c r="F69" s="23" t="s">
        <v>1392</v>
      </c>
    </row>
    <row r="70" spans="1:6" x14ac:dyDescent="0.25">
      <c r="A70" s="23" t="s">
        <v>521</v>
      </c>
      <c r="B70" s="23" t="s">
        <v>1376</v>
      </c>
      <c r="C70" s="23">
        <v>2</v>
      </c>
      <c r="D70" s="23">
        <v>4</v>
      </c>
      <c r="E70" s="23" t="s">
        <v>1377</v>
      </c>
      <c r="F70" s="23" t="s">
        <v>1378</v>
      </c>
    </row>
    <row r="71" spans="1:6" x14ac:dyDescent="0.25">
      <c r="A71" s="23" t="s">
        <v>521</v>
      </c>
      <c r="B71" s="23" t="s">
        <v>1440</v>
      </c>
      <c r="C71" s="23">
        <v>1</v>
      </c>
      <c r="D71" s="23">
        <v>4</v>
      </c>
      <c r="E71" s="23" t="s">
        <v>1441</v>
      </c>
      <c r="F71" s="23" t="s">
        <v>1442</v>
      </c>
    </row>
    <row r="72" spans="1:6" x14ac:dyDescent="0.25">
      <c r="A72" s="23" t="s">
        <v>521</v>
      </c>
      <c r="B72" s="23" t="s">
        <v>1358</v>
      </c>
      <c r="C72" s="23">
        <v>2</v>
      </c>
      <c r="D72" s="23">
        <v>4</v>
      </c>
      <c r="E72" s="23" t="s">
        <v>1359</v>
      </c>
      <c r="F72" s="23" t="s">
        <v>1360</v>
      </c>
    </row>
    <row r="73" spans="1:6" s="43" customFormat="1" x14ac:dyDescent="0.25">
      <c r="A73" s="42" t="s">
        <v>521</v>
      </c>
      <c r="B73" s="42" t="s">
        <v>955</v>
      </c>
      <c r="C73" s="42">
        <v>2</v>
      </c>
      <c r="D73" s="42">
        <v>5</v>
      </c>
      <c r="E73" s="42" t="s">
        <v>1163</v>
      </c>
      <c r="F73" s="42" t="s">
        <v>1164</v>
      </c>
    </row>
    <row r="74" spans="1:6" x14ac:dyDescent="0.25">
      <c r="A74" s="23" t="s">
        <v>521</v>
      </c>
      <c r="B74" s="23" t="s">
        <v>1352</v>
      </c>
      <c r="C74" s="23">
        <v>2</v>
      </c>
      <c r="D74" s="23">
        <v>4</v>
      </c>
      <c r="E74" s="23" t="s">
        <v>1353</v>
      </c>
      <c r="F74" s="23" t="s">
        <v>1354</v>
      </c>
    </row>
    <row r="75" spans="1:6" x14ac:dyDescent="0.25">
      <c r="A75" s="23" t="s">
        <v>1958</v>
      </c>
      <c r="B75" s="23" t="s">
        <v>1434</v>
      </c>
      <c r="C75" s="23">
        <v>3</v>
      </c>
      <c r="D75" s="23">
        <v>3</v>
      </c>
      <c r="E75" s="23" t="s">
        <v>1435</v>
      </c>
      <c r="F75" s="23" t="s">
        <v>1436</v>
      </c>
    </row>
    <row r="76" spans="1:6" x14ac:dyDescent="0.25">
      <c r="A76" s="23" t="s">
        <v>1958</v>
      </c>
      <c r="B76" s="23" t="s">
        <v>1413</v>
      </c>
      <c r="C76" s="23">
        <v>2</v>
      </c>
      <c r="D76" s="23">
        <v>3</v>
      </c>
      <c r="E76" s="23" t="s">
        <v>1414</v>
      </c>
      <c r="F76" s="23" t="s">
        <v>1415</v>
      </c>
    </row>
    <row r="77" spans="1:6" x14ac:dyDescent="0.25">
      <c r="A77" s="23" t="s">
        <v>1958</v>
      </c>
      <c r="B77" s="23" t="s">
        <v>1407</v>
      </c>
      <c r="C77" s="23">
        <v>2</v>
      </c>
      <c r="D77" s="23">
        <v>4</v>
      </c>
      <c r="E77" s="23" t="s">
        <v>1408</v>
      </c>
      <c r="F77" s="23" t="s">
        <v>1409</v>
      </c>
    </row>
    <row r="78" spans="1:6" x14ac:dyDescent="0.25">
      <c r="A78" s="23" t="s">
        <v>1958</v>
      </c>
      <c r="B78" s="23" t="s">
        <v>1416</v>
      </c>
      <c r="C78" s="23">
        <v>3</v>
      </c>
      <c r="D78" s="23">
        <v>3</v>
      </c>
      <c r="E78" s="23" t="s">
        <v>1417</v>
      </c>
      <c r="F78" s="23" t="s">
        <v>1418</v>
      </c>
    </row>
    <row r="79" spans="1:6" x14ac:dyDescent="0.25">
      <c r="A79" s="23" t="s">
        <v>1958</v>
      </c>
      <c r="B79" s="23" t="s">
        <v>1410</v>
      </c>
      <c r="C79" s="23">
        <v>3</v>
      </c>
      <c r="D79" s="23">
        <v>3</v>
      </c>
      <c r="E79" s="23" t="s">
        <v>1411</v>
      </c>
      <c r="F79" s="23" t="s">
        <v>1412</v>
      </c>
    </row>
    <row r="80" spans="1:6" s="15" customFormat="1" x14ac:dyDescent="0.25">
      <c r="A80" s="23" t="s">
        <v>1958</v>
      </c>
      <c r="B80" s="23" t="s">
        <v>984</v>
      </c>
      <c r="C80" s="23">
        <v>2</v>
      </c>
      <c r="D80" s="23">
        <v>4</v>
      </c>
      <c r="E80" s="23" t="s">
        <v>1284</v>
      </c>
      <c r="F80" s="23" t="s">
        <v>1285</v>
      </c>
    </row>
    <row r="81" spans="1:6" x14ac:dyDescent="0.25">
      <c r="A81" s="23" t="s">
        <v>1958</v>
      </c>
      <c r="B81" s="23" t="s">
        <v>1385</v>
      </c>
      <c r="C81" s="23">
        <v>3</v>
      </c>
      <c r="D81" s="23">
        <v>3</v>
      </c>
      <c r="E81" s="23" t="s">
        <v>1386</v>
      </c>
      <c r="F81" s="23" t="s">
        <v>1387</v>
      </c>
    </row>
    <row r="82" spans="1:6" x14ac:dyDescent="0.25">
      <c r="A82" s="23" t="s">
        <v>1958</v>
      </c>
      <c r="B82" s="23" t="s">
        <v>1422</v>
      </c>
      <c r="C82" s="23">
        <v>3</v>
      </c>
      <c r="D82" s="23">
        <v>2</v>
      </c>
      <c r="E82" s="23" t="s">
        <v>1423</v>
      </c>
      <c r="F82" s="23" t="s">
        <v>1424</v>
      </c>
    </row>
    <row r="83" spans="1:6" x14ac:dyDescent="0.25">
      <c r="A83" s="23" t="s">
        <v>1958</v>
      </c>
      <c r="B83" s="23" t="s">
        <v>1403</v>
      </c>
      <c r="C83" s="23">
        <v>2</v>
      </c>
      <c r="D83" s="23">
        <v>4</v>
      </c>
      <c r="E83" s="23" t="s">
        <v>1404</v>
      </c>
      <c r="F83" s="23" t="s">
        <v>1975</v>
      </c>
    </row>
    <row r="84" spans="1:6" x14ac:dyDescent="0.25">
      <c r="A84" s="23" t="s">
        <v>1958</v>
      </c>
      <c r="B84" s="23" t="s">
        <v>987</v>
      </c>
      <c r="C84" s="23">
        <v>1</v>
      </c>
      <c r="D84" s="23">
        <v>4</v>
      </c>
      <c r="E84" s="23" t="s">
        <v>1388</v>
      </c>
      <c r="F84" s="23" t="s">
        <v>1389</v>
      </c>
    </row>
    <row r="85" spans="1:6" x14ac:dyDescent="0.25">
      <c r="A85" s="23" t="s">
        <v>1958</v>
      </c>
      <c r="B85" s="23" t="s">
        <v>1370</v>
      </c>
      <c r="C85" s="23">
        <v>3</v>
      </c>
      <c r="D85" s="23">
        <v>3</v>
      </c>
      <c r="E85" s="23" t="s">
        <v>1371</v>
      </c>
      <c r="F85" s="23" t="s">
        <v>1372</v>
      </c>
    </row>
    <row r="86" spans="1:6" x14ac:dyDescent="0.25">
      <c r="A86" s="23" t="s">
        <v>1958</v>
      </c>
      <c r="B86" s="23" t="s">
        <v>1437</v>
      </c>
      <c r="C86" s="23">
        <v>2</v>
      </c>
      <c r="D86" s="23">
        <v>4</v>
      </c>
      <c r="E86" s="23" t="s">
        <v>1438</v>
      </c>
      <c r="F86" s="23" t="s">
        <v>1439</v>
      </c>
    </row>
    <row r="87" spans="1:6" x14ac:dyDescent="0.25">
      <c r="A87" s="23" t="s">
        <v>1958</v>
      </c>
      <c r="B87" s="23" t="s">
        <v>1451</v>
      </c>
      <c r="C87" s="23">
        <v>2</v>
      </c>
      <c r="D87" s="23">
        <v>3</v>
      </c>
      <c r="E87" s="23" t="s">
        <v>1452</v>
      </c>
      <c r="F87" s="23" t="s">
        <v>1453</v>
      </c>
    </row>
    <row r="88" spans="1:6" x14ac:dyDescent="0.25">
      <c r="A88" s="23" t="s">
        <v>1958</v>
      </c>
      <c r="B88" s="23" t="s">
        <v>1364</v>
      </c>
      <c r="C88" s="23">
        <v>3</v>
      </c>
      <c r="D88" s="23">
        <v>3</v>
      </c>
      <c r="E88" s="23" t="s">
        <v>1365</v>
      </c>
      <c r="F88" s="23" t="s">
        <v>1366</v>
      </c>
    </row>
    <row r="89" spans="1:6" x14ac:dyDescent="0.25">
      <c r="A89" s="23" t="s">
        <v>1958</v>
      </c>
      <c r="B89" s="23" t="s">
        <v>1367</v>
      </c>
      <c r="C89" s="23">
        <v>2</v>
      </c>
      <c r="D89" s="23">
        <v>4</v>
      </c>
      <c r="E89" s="23" t="s">
        <v>1368</v>
      </c>
      <c r="F89" s="23" t="s">
        <v>1369</v>
      </c>
    </row>
    <row r="90" spans="1:6" ht="30" x14ac:dyDescent="0.25">
      <c r="A90" s="23" t="s">
        <v>1958</v>
      </c>
      <c r="B90" s="23" t="s">
        <v>1331</v>
      </c>
      <c r="C90" s="23">
        <v>2</v>
      </c>
      <c r="D90" s="23">
        <v>4</v>
      </c>
      <c r="E90" s="23" t="s">
        <v>1332</v>
      </c>
      <c r="F90" s="23" t="s">
        <v>1333</v>
      </c>
    </row>
    <row r="91" spans="1:6" x14ac:dyDescent="0.25">
      <c r="A91" s="23" t="s">
        <v>1958</v>
      </c>
      <c r="B91" s="23" t="s">
        <v>1307</v>
      </c>
      <c r="C91" s="23">
        <v>1</v>
      </c>
      <c r="D91" s="23">
        <v>5</v>
      </c>
      <c r="E91" s="23" t="s">
        <v>1308</v>
      </c>
      <c r="F91" s="23" t="s">
        <v>1309</v>
      </c>
    </row>
    <row r="92" spans="1:6" x14ac:dyDescent="0.25">
      <c r="A92" s="23" t="s">
        <v>1958</v>
      </c>
      <c r="B92" s="23" t="s">
        <v>1405</v>
      </c>
      <c r="C92" s="23">
        <v>2</v>
      </c>
      <c r="D92" s="23">
        <v>4</v>
      </c>
      <c r="E92" s="23" t="s">
        <v>1406</v>
      </c>
      <c r="F92" s="23" t="s">
        <v>1961</v>
      </c>
    </row>
    <row r="93" spans="1:6" x14ac:dyDescent="0.25">
      <c r="A93" s="23" t="s">
        <v>1958</v>
      </c>
      <c r="B93" s="23" t="s">
        <v>1419</v>
      </c>
      <c r="C93" s="23">
        <v>2</v>
      </c>
      <c r="D93" s="23">
        <v>4</v>
      </c>
      <c r="E93" s="23" t="s">
        <v>1420</v>
      </c>
      <c r="F93" s="23" t="s">
        <v>1421</v>
      </c>
    </row>
    <row r="94" spans="1:6" x14ac:dyDescent="0.25">
      <c r="A94" s="23" t="s">
        <v>1958</v>
      </c>
      <c r="B94" s="23" t="s">
        <v>1853</v>
      </c>
      <c r="C94" s="23">
        <v>4</v>
      </c>
      <c r="D94" s="23">
        <v>2</v>
      </c>
      <c r="E94" s="23" t="s">
        <v>1449</v>
      </c>
      <c r="F94" s="23" t="s">
        <v>1450</v>
      </c>
    </row>
    <row r="95" spans="1:6" x14ac:dyDescent="0.25">
      <c r="A95" s="23" t="s">
        <v>1958</v>
      </c>
      <c r="B95" s="23" t="s">
        <v>1310</v>
      </c>
      <c r="C95" s="23">
        <v>2</v>
      </c>
      <c r="D95" s="23">
        <v>4</v>
      </c>
      <c r="E95" s="23" t="s">
        <v>1311</v>
      </c>
      <c r="F95" s="23" t="s">
        <v>1312</v>
      </c>
    </row>
    <row r="96" spans="1:6" x14ac:dyDescent="0.25">
      <c r="A96" s="23" t="s">
        <v>1958</v>
      </c>
      <c r="B96" s="23" t="s">
        <v>993</v>
      </c>
      <c r="C96" s="23">
        <v>2</v>
      </c>
      <c r="D96" s="23">
        <v>5</v>
      </c>
      <c r="E96" s="23" t="s">
        <v>1171</v>
      </c>
      <c r="F96" s="23" t="s">
        <v>1172</v>
      </c>
    </row>
    <row r="97" spans="1:6" x14ac:dyDescent="0.25">
      <c r="A97" s="23" t="s">
        <v>1958</v>
      </c>
      <c r="B97" s="23" t="s">
        <v>1289</v>
      </c>
      <c r="C97" s="23">
        <v>2</v>
      </c>
      <c r="D97" s="23">
        <v>4</v>
      </c>
      <c r="E97" s="23" t="s">
        <v>1290</v>
      </c>
      <c r="F97" s="23" t="s">
        <v>1291</v>
      </c>
    </row>
    <row r="98" spans="1:6" x14ac:dyDescent="0.25">
      <c r="A98" s="23" t="s">
        <v>1958</v>
      </c>
      <c r="B98" s="23" t="s">
        <v>1313</v>
      </c>
      <c r="C98" s="23">
        <v>2</v>
      </c>
      <c r="D98" s="23">
        <v>4</v>
      </c>
      <c r="E98" s="23" t="s">
        <v>1314</v>
      </c>
      <c r="F98" s="23" t="s">
        <v>1315</v>
      </c>
    </row>
    <row r="99" spans="1:6" x14ac:dyDescent="0.25">
      <c r="A99" s="23" t="s">
        <v>1958</v>
      </c>
      <c r="B99" s="23" t="s">
        <v>1400</v>
      </c>
      <c r="C99" s="23">
        <v>2</v>
      </c>
      <c r="D99" s="23">
        <v>4</v>
      </c>
      <c r="E99" s="23" t="s">
        <v>1401</v>
      </c>
      <c r="F99" s="23" t="s">
        <v>1402</v>
      </c>
    </row>
    <row r="100" spans="1:6" x14ac:dyDescent="0.25">
      <c r="A100" s="23" t="s">
        <v>1958</v>
      </c>
      <c r="B100" s="23" t="s">
        <v>1334</v>
      </c>
      <c r="C100" s="23">
        <v>1</v>
      </c>
      <c r="D100" s="23">
        <v>5</v>
      </c>
      <c r="E100" s="23" t="s">
        <v>1335</v>
      </c>
      <c r="F100" s="23" t="s">
        <v>1336</v>
      </c>
    </row>
    <row r="101" spans="1:6" s="15" customFormat="1" x14ac:dyDescent="0.25">
      <c r="A101" s="23" t="s">
        <v>1958</v>
      </c>
      <c r="B101" s="23" t="s">
        <v>973</v>
      </c>
      <c r="C101" s="23">
        <v>3</v>
      </c>
      <c r="D101" s="23">
        <v>3</v>
      </c>
      <c r="E101" s="23" t="s">
        <v>1305</v>
      </c>
      <c r="F101" s="23" t="s">
        <v>1306</v>
      </c>
    </row>
    <row r="102" spans="1:6" x14ac:dyDescent="0.25">
      <c r="A102" s="23" t="s">
        <v>1958</v>
      </c>
      <c r="B102" s="23" t="s">
        <v>1446</v>
      </c>
      <c r="C102" s="23">
        <v>2</v>
      </c>
      <c r="D102" s="23">
        <v>4</v>
      </c>
      <c r="E102" s="23" t="s">
        <v>1447</v>
      </c>
      <c r="F102" s="23" t="s">
        <v>1448</v>
      </c>
    </row>
    <row r="103" spans="1:6" ht="30" x14ac:dyDescent="0.25">
      <c r="A103" s="40" t="s">
        <v>1875</v>
      </c>
      <c r="B103" s="23" t="s">
        <v>1361</v>
      </c>
      <c r="C103" s="23">
        <v>1</v>
      </c>
      <c r="D103" s="23">
        <v>5</v>
      </c>
      <c r="E103" s="23" t="s">
        <v>1362</v>
      </c>
      <c r="F103" s="23" t="s">
        <v>1363</v>
      </c>
    </row>
    <row r="104" spans="1:6" s="47" customFormat="1" x14ac:dyDescent="0.25">
      <c r="A104" s="40" t="s">
        <v>1875</v>
      </c>
      <c r="B104" s="40" t="s">
        <v>1844</v>
      </c>
      <c r="C104" s="40">
        <v>2</v>
      </c>
      <c r="D104" s="40">
        <v>4</v>
      </c>
      <c r="E104" s="40" t="s">
        <v>1868</v>
      </c>
      <c r="F104" s="40" t="s">
        <v>1869</v>
      </c>
    </row>
    <row r="105" spans="1:6" s="47" customFormat="1" x14ac:dyDescent="0.25">
      <c r="A105" s="40" t="s">
        <v>1875</v>
      </c>
      <c r="B105" s="40" t="s">
        <v>1846</v>
      </c>
      <c r="C105" s="40">
        <v>2</v>
      </c>
      <c r="D105" s="40">
        <v>4</v>
      </c>
      <c r="E105" s="40" t="s">
        <v>1884</v>
      </c>
      <c r="F105" s="40" t="s">
        <v>1883</v>
      </c>
    </row>
    <row r="106" spans="1:6" s="47" customFormat="1" x14ac:dyDescent="0.25">
      <c r="A106" s="40" t="s">
        <v>1875</v>
      </c>
      <c r="B106" s="40" t="s">
        <v>1841</v>
      </c>
      <c r="C106" s="40">
        <v>3</v>
      </c>
      <c r="D106" s="40">
        <v>3</v>
      </c>
      <c r="E106" s="40" t="s">
        <v>1864</v>
      </c>
      <c r="F106" s="40" t="s">
        <v>1865</v>
      </c>
    </row>
    <row r="107" spans="1:6" s="47" customFormat="1" x14ac:dyDescent="0.25">
      <c r="A107" s="40" t="s">
        <v>1875</v>
      </c>
      <c r="B107" s="40" t="s">
        <v>1842</v>
      </c>
      <c r="C107" s="40">
        <v>3</v>
      </c>
      <c r="D107" s="40">
        <v>3</v>
      </c>
      <c r="E107" s="40" t="s">
        <v>1862</v>
      </c>
      <c r="F107" s="40" t="s">
        <v>1863</v>
      </c>
    </row>
    <row r="108" spans="1:6" s="47" customFormat="1" x14ac:dyDescent="0.25">
      <c r="A108" s="40" t="s">
        <v>1875</v>
      </c>
      <c r="B108" s="40" t="s">
        <v>1322</v>
      </c>
      <c r="C108" s="40">
        <v>1</v>
      </c>
      <c r="D108" s="40">
        <v>5</v>
      </c>
      <c r="E108" s="40" t="s">
        <v>1323</v>
      </c>
      <c r="F108" s="40" t="s">
        <v>1324</v>
      </c>
    </row>
    <row r="109" spans="1:6" s="47" customFormat="1" ht="30" x14ac:dyDescent="0.25">
      <c r="A109" s="40" t="s">
        <v>1875</v>
      </c>
      <c r="B109" s="40" t="s">
        <v>1843</v>
      </c>
      <c r="C109" s="40">
        <v>3</v>
      </c>
      <c r="D109" s="40">
        <v>3</v>
      </c>
      <c r="E109" s="40" t="s">
        <v>1866</v>
      </c>
      <c r="F109" s="40" t="s">
        <v>1867</v>
      </c>
    </row>
    <row r="110" spans="1:6" s="47" customFormat="1" x14ac:dyDescent="0.25">
      <c r="A110" s="40" t="s">
        <v>1875</v>
      </c>
      <c r="B110" s="40" t="s">
        <v>1845</v>
      </c>
      <c r="C110" s="40">
        <v>1</v>
      </c>
      <c r="D110" s="40">
        <v>4</v>
      </c>
      <c r="E110" s="40" t="s">
        <v>1885</v>
      </c>
      <c r="F110" s="40" t="s">
        <v>1976</v>
      </c>
    </row>
    <row r="111" spans="1:6" s="47" customFormat="1" x14ac:dyDescent="0.25">
      <c r="A111" s="40" t="s">
        <v>1855</v>
      </c>
      <c r="B111" s="40" t="s">
        <v>1397</v>
      </c>
      <c r="C111" s="40">
        <v>2</v>
      </c>
      <c r="D111" s="40">
        <v>4</v>
      </c>
      <c r="E111" s="40" t="s">
        <v>1398</v>
      </c>
      <c r="F111" s="40" t="s">
        <v>1399</v>
      </c>
    </row>
    <row r="112" spans="1:6" ht="17.25" customHeight="1" x14ac:dyDescent="0.25">
      <c r="A112" s="23" t="s">
        <v>1855</v>
      </c>
      <c r="B112" s="23" t="s">
        <v>1472</v>
      </c>
      <c r="C112" s="23">
        <v>2</v>
      </c>
      <c r="D112" s="23">
        <v>4</v>
      </c>
      <c r="E112" s="23" t="s">
        <v>1473</v>
      </c>
      <c r="F112" s="23" t="s">
        <v>1474</v>
      </c>
    </row>
    <row r="113" spans="1:6" x14ac:dyDescent="0.25">
      <c r="A113" s="23" t="s">
        <v>1855</v>
      </c>
      <c r="B113" s="23" t="s">
        <v>1425</v>
      </c>
      <c r="C113" s="23">
        <v>1</v>
      </c>
      <c r="D113" s="23">
        <v>5</v>
      </c>
      <c r="E113" s="23" t="s">
        <v>1426</v>
      </c>
      <c r="F113" s="23" t="s">
        <v>1427</v>
      </c>
    </row>
    <row r="114" spans="1:6" x14ac:dyDescent="0.25">
      <c r="A114" s="23" t="s">
        <v>1855</v>
      </c>
      <c r="B114" s="23" t="s">
        <v>1475</v>
      </c>
      <c r="C114" s="23">
        <v>3</v>
      </c>
      <c r="D114" s="23">
        <v>3</v>
      </c>
      <c r="E114" s="23" t="s">
        <v>1476</v>
      </c>
      <c r="F114" s="23" t="s">
        <v>1477</v>
      </c>
    </row>
    <row r="115" spans="1:6" x14ac:dyDescent="0.25">
      <c r="A115" s="23" t="s">
        <v>1855</v>
      </c>
      <c r="B115" s="23" t="s">
        <v>1316</v>
      </c>
      <c r="C115" s="23">
        <v>3</v>
      </c>
      <c r="D115" s="23">
        <v>3</v>
      </c>
      <c r="E115" s="23" t="s">
        <v>1317</v>
      </c>
      <c r="F115" s="23" t="s">
        <v>1318</v>
      </c>
    </row>
    <row r="116" spans="1:6" x14ac:dyDescent="0.25">
      <c r="A116" s="23" t="s">
        <v>1857</v>
      </c>
      <c r="B116" s="23" t="s">
        <v>1394</v>
      </c>
      <c r="C116" s="23">
        <v>3</v>
      </c>
      <c r="D116" s="23">
        <v>3</v>
      </c>
      <c r="E116" s="23" t="s">
        <v>1395</v>
      </c>
      <c r="F116" s="23" t="s">
        <v>1396</v>
      </c>
    </row>
    <row r="117" spans="1:6" ht="15.75" customHeight="1" x14ac:dyDescent="0.25">
      <c r="A117" s="23" t="s">
        <v>1857</v>
      </c>
      <c r="B117" s="23" t="s">
        <v>1292</v>
      </c>
      <c r="C117" s="23">
        <v>0</v>
      </c>
      <c r="D117" s="23">
        <v>6</v>
      </c>
      <c r="E117" s="23" t="s">
        <v>1293</v>
      </c>
      <c r="F117" s="23" t="s">
        <v>1977</v>
      </c>
    </row>
    <row r="118" spans="1:6" x14ac:dyDescent="0.25">
      <c r="A118" s="23" t="s">
        <v>1857</v>
      </c>
      <c r="B118" s="23" t="s">
        <v>1355</v>
      </c>
      <c r="C118" s="23">
        <v>3</v>
      </c>
      <c r="D118" s="23">
        <v>3</v>
      </c>
      <c r="E118" s="23" t="s">
        <v>1356</v>
      </c>
      <c r="F118" s="23" t="s">
        <v>1357</v>
      </c>
    </row>
    <row r="119" spans="1:6" x14ac:dyDescent="0.25">
      <c r="A119" s="23" t="s">
        <v>1857</v>
      </c>
      <c r="B119" s="23" t="s">
        <v>1297</v>
      </c>
      <c r="C119" s="23">
        <v>2</v>
      </c>
      <c r="D119" s="23">
        <v>4</v>
      </c>
      <c r="E119" s="23" t="s">
        <v>1298</v>
      </c>
      <c r="F119" s="23" t="s">
        <v>1978</v>
      </c>
    </row>
    <row r="120" spans="1:6" x14ac:dyDescent="0.25">
      <c r="A120" s="23" t="s">
        <v>1857</v>
      </c>
      <c r="B120" s="23" t="s">
        <v>1340</v>
      </c>
      <c r="C120" s="23">
        <v>1</v>
      </c>
      <c r="D120" s="23">
        <v>5</v>
      </c>
      <c r="E120" s="23" t="s">
        <v>1341</v>
      </c>
      <c r="F120" s="23" t="s">
        <v>1342</v>
      </c>
    </row>
    <row r="121" spans="1:6" s="15" customFormat="1" x14ac:dyDescent="0.25">
      <c r="A121" s="23" t="s">
        <v>1856</v>
      </c>
      <c r="B121" s="23" t="s">
        <v>1454</v>
      </c>
      <c r="C121" s="23">
        <v>3</v>
      </c>
      <c r="D121" s="23">
        <v>3</v>
      </c>
      <c r="E121" s="23" t="s">
        <v>1455</v>
      </c>
      <c r="F121" s="23" t="s">
        <v>1456</v>
      </c>
    </row>
    <row r="122" spans="1:6" x14ac:dyDescent="0.25">
      <c r="A122" s="23" t="s">
        <v>1856</v>
      </c>
      <c r="B122" s="23" t="s">
        <v>1431</v>
      </c>
      <c r="C122" s="23">
        <v>1</v>
      </c>
      <c r="D122" s="23">
        <v>5</v>
      </c>
      <c r="E122" s="23" t="s">
        <v>1432</v>
      </c>
      <c r="F122" s="23" t="s">
        <v>1433</v>
      </c>
    </row>
    <row r="123" spans="1:6" x14ac:dyDescent="0.25">
      <c r="A123" s="23" t="s">
        <v>1856</v>
      </c>
      <c r="B123" s="23" t="s">
        <v>1294</v>
      </c>
      <c r="C123" s="23">
        <v>2</v>
      </c>
      <c r="D123" s="23">
        <v>3</v>
      </c>
      <c r="E123" s="23" t="s">
        <v>1295</v>
      </c>
      <c r="F123" s="23" t="s">
        <v>1296</v>
      </c>
    </row>
    <row r="124" spans="1:6" x14ac:dyDescent="0.25">
      <c r="A124" s="23" t="s">
        <v>1856</v>
      </c>
      <c r="B124" s="23" t="s">
        <v>1462</v>
      </c>
      <c r="C124" s="23">
        <v>1</v>
      </c>
      <c r="D124" s="23">
        <v>5</v>
      </c>
      <c r="E124" s="23" t="s">
        <v>1463</v>
      </c>
      <c r="F124" s="23" t="s">
        <v>1464</v>
      </c>
    </row>
    <row r="125" spans="1:6" x14ac:dyDescent="0.25">
      <c r="A125" s="23" t="s">
        <v>1856</v>
      </c>
      <c r="B125" s="23" t="s">
        <v>1346</v>
      </c>
      <c r="C125" s="23">
        <v>3</v>
      </c>
      <c r="D125" s="23">
        <v>3</v>
      </c>
      <c r="E125" s="23" t="s">
        <v>1347</v>
      </c>
      <c r="F125" s="23" t="s">
        <v>1348</v>
      </c>
    </row>
    <row r="126" spans="1:6" x14ac:dyDescent="0.25">
      <c r="A126" s="23" t="s">
        <v>1856</v>
      </c>
      <c r="B126" s="23" t="s">
        <v>1299</v>
      </c>
      <c r="C126" s="23">
        <v>2</v>
      </c>
      <c r="D126" s="23">
        <v>4</v>
      </c>
      <c r="E126" s="23" t="s">
        <v>1300</v>
      </c>
      <c r="F126" s="24" t="s">
        <v>1301</v>
      </c>
    </row>
    <row r="127" spans="1:6" x14ac:dyDescent="0.25">
      <c r="A127" s="23" t="s">
        <v>1856</v>
      </c>
      <c r="B127" s="23" t="s">
        <v>1302</v>
      </c>
      <c r="C127" s="23">
        <v>3</v>
      </c>
      <c r="D127" s="23">
        <v>3</v>
      </c>
      <c r="E127" s="23" t="s">
        <v>1303</v>
      </c>
      <c r="F127" s="23" t="s">
        <v>1304</v>
      </c>
    </row>
    <row r="128" spans="1:6" x14ac:dyDescent="0.25">
      <c r="A128" s="23" t="s">
        <v>1856</v>
      </c>
      <c r="B128" s="23" t="s">
        <v>1286</v>
      </c>
      <c r="C128" s="23">
        <v>2</v>
      </c>
      <c r="D128" s="23">
        <v>4</v>
      </c>
      <c r="E128" s="23" t="s">
        <v>1287</v>
      </c>
      <c r="F128" s="23" t="s">
        <v>1288</v>
      </c>
    </row>
    <row r="129" spans="1:6" x14ac:dyDescent="0.25">
      <c r="A129" s="23" t="s">
        <v>1856</v>
      </c>
      <c r="B129" s="23" t="s">
        <v>1379</v>
      </c>
      <c r="C129" s="23">
        <v>3</v>
      </c>
      <c r="D129" s="23">
        <v>3</v>
      </c>
      <c r="E129" s="23" t="s">
        <v>1380</v>
      </c>
      <c r="F129" s="23" t="s">
        <v>1381</v>
      </c>
    </row>
    <row r="130" spans="1:6" x14ac:dyDescent="0.25">
      <c r="A130" s="23" t="s">
        <v>1856</v>
      </c>
      <c r="B130" s="23" t="s">
        <v>1373</v>
      </c>
      <c r="C130" s="23">
        <v>3</v>
      </c>
      <c r="D130" s="23">
        <v>3</v>
      </c>
      <c r="E130" s="23" t="s">
        <v>1374</v>
      </c>
      <c r="F130" s="23" t="s">
        <v>1375</v>
      </c>
    </row>
    <row r="131" spans="1:6" x14ac:dyDescent="0.25">
      <c r="A131" s="23" t="s">
        <v>1856</v>
      </c>
      <c r="B131" s="23" t="s">
        <v>1393</v>
      </c>
      <c r="C131" s="23">
        <v>2</v>
      </c>
      <c r="D131" s="23">
        <v>4</v>
      </c>
      <c r="E131" s="23" t="s">
        <v>1163</v>
      </c>
      <c r="F131" s="23" t="s">
        <v>1979</v>
      </c>
    </row>
    <row r="132" spans="1:6" x14ac:dyDescent="0.25">
      <c r="A132" s="23" t="s">
        <v>1856</v>
      </c>
      <c r="B132" s="23" t="s">
        <v>1457</v>
      </c>
      <c r="C132" s="23">
        <v>2</v>
      </c>
      <c r="D132" s="23">
        <v>4</v>
      </c>
      <c r="E132" s="23" t="s">
        <v>1458</v>
      </c>
      <c r="F132" s="23" t="s">
        <v>1603</v>
      </c>
    </row>
    <row r="133" spans="1:6" s="15" customFormat="1" x14ac:dyDescent="0.25">
      <c r="A133" s="23" t="s">
        <v>1856</v>
      </c>
      <c r="B133" s="23" t="s">
        <v>1470</v>
      </c>
      <c r="C133" s="23">
        <v>2</v>
      </c>
      <c r="D133" s="23">
        <v>4</v>
      </c>
      <c r="E133" s="23" t="s">
        <v>916</v>
      </c>
      <c r="F133" s="23" t="s">
        <v>1471</v>
      </c>
    </row>
    <row r="134" spans="1:6" x14ac:dyDescent="0.25">
      <c r="A134" s="23" t="s">
        <v>1856</v>
      </c>
      <c r="B134" s="23" t="s">
        <v>1467</v>
      </c>
      <c r="C134" s="23">
        <v>2</v>
      </c>
      <c r="D134" s="23">
        <v>4</v>
      </c>
      <c r="E134" s="23" t="s">
        <v>1468</v>
      </c>
      <c r="F134" s="23" t="s">
        <v>1469</v>
      </c>
    </row>
    <row r="135" spans="1:6" s="15" customFormat="1" ht="30" x14ac:dyDescent="0.25">
      <c r="A135" s="23" t="s">
        <v>1856</v>
      </c>
      <c r="B135" s="23" t="s">
        <v>1349</v>
      </c>
      <c r="C135" s="23">
        <v>3</v>
      </c>
      <c r="D135" s="23">
        <v>3</v>
      </c>
      <c r="E135" s="23" t="s">
        <v>1350</v>
      </c>
      <c r="F135" s="23" t="s">
        <v>1351</v>
      </c>
    </row>
    <row r="136" spans="1:6" x14ac:dyDescent="0.25">
      <c r="A136" s="23" t="s">
        <v>292</v>
      </c>
      <c r="B136" s="23" t="s">
        <v>1428</v>
      </c>
      <c r="C136" s="23">
        <v>1</v>
      </c>
      <c r="D136" s="23">
        <v>5</v>
      </c>
      <c r="E136" s="23" t="s">
        <v>1429</v>
      </c>
      <c r="F136" s="23" t="s">
        <v>1430</v>
      </c>
    </row>
    <row r="137" spans="1:6" x14ac:dyDescent="0.25">
      <c r="A137" s="23" t="s">
        <v>292</v>
      </c>
      <c r="B137" s="23" t="s">
        <v>1443</v>
      </c>
      <c r="C137" s="23">
        <v>2</v>
      </c>
      <c r="D137" s="23">
        <v>4</v>
      </c>
      <c r="E137" s="23" t="s">
        <v>1444</v>
      </c>
      <c r="F137" s="23" t="s">
        <v>1445</v>
      </c>
    </row>
    <row r="138" spans="1:6" x14ac:dyDescent="0.25">
      <c r="A138" s="23" t="s">
        <v>702</v>
      </c>
      <c r="B138" s="23" t="s">
        <v>797</v>
      </c>
      <c r="C138" s="23">
        <v>3</v>
      </c>
      <c r="D138" s="23">
        <v>3</v>
      </c>
      <c r="E138" s="23" t="s">
        <v>798</v>
      </c>
      <c r="F138" s="23" t="s">
        <v>1980</v>
      </c>
    </row>
    <row r="139" spans="1:6" x14ac:dyDescent="0.25">
      <c r="A139" s="23" t="s">
        <v>702</v>
      </c>
      <c r="B139" s="23" t="s">
        <v>795</v>
      </c>
      <c r="C139" s="23">
        <v>1</v>
      </c>
      <c r="D139" s="23">
        <v>4</v>
      </c>
      <c r="E139" s="23" t="s">
        <v>796</v>
      </c>
      <c r="F139" s="23" t="s">
        <v>1981</v>
      </c>
    </row>
    <row r="140" spans="1:6" s="47" customFormat="1" x14ac:dyDescent="0.25">
      <c r="A140" s="40" t="s">
        <v>1875</v>
      </c>
      <c r="B140" s="40" t="s">
        <v>1850</v>
      </c>
      <c r="C140" s="40">
        <v>2</v>
      </c>
      <c r="D140" s="40">
        <v>4</v>
      </c>
      <c r="E140" s="40" t="s">
        <v>1881</v>
      </c>
      <c r="F140" s="40" t="s">
        <v>1882</v>
      </c>
    </row>
    <row r="141" spans="1:6" s="47" customFormat="1" x14ac:dyDescent="0.25">
      <c r="A141" s="40" t="s">
        <v>1875</v>
      </c>
      <c r="B141" s="40" t="s">
        <v>1849</v>
      </c>
      <c r="C141" s="40">
        <v>1</v>
      </c>
      <c r="D141" s="40">
        <v>5</v>
      </c>
      <c r="E141" s="40" t="s">
        <v>1880</v>
      </c>
      <c r="F141" s="40" t="s">
        <v>1879</v>
      </c>
    </row>
    <row r="142" spans="1:6" s="47" customFormat="1" x14ac:dyDescent="0.25">
      <c r="A142" s="40" t="s">
        <v>1878</v>
      </c>
      <c r="B142" s="40" t="s">
        <v>1874</v>
      </c>
      <c r="C142" s="40">
        <v>2</v>
      </c>
      <c r="D142" s="40">
        <v>4</v>
      </c>
      <c r="E142" s="40" t="s">
        <v>1876</v>
      </c>
      <c r="F142" s="40" t="s">
        <v>1877</v>
      </c>
    </row>
    <row r="143" spans="1:6" s="47" customFormat="1" x14ac:dyDescent="0.25">
      <c r="A143" s="40" t="s">
        <v>2010</v>
      </c>
      <c r="B143" s="40" t="s">
        <v>2011</v>
      </c>
      <c r="C143" s="40">
        <v>2</v>
      </c>
      <c r="D143" s="40">
        <v>3</v>
      </c>
      <c r="E143" s="40" t="s">
        <v>2012</v>
      </c>
      <c r="F143" s="40" t="s">
        <v>2013</v>
      </c>
    </row>
    <row r="144" spans="1:6" s="47" customFormat="1" ht="30" x14ac:dyDescent="0.25">
      <c r="A144" s="40" t="s">
        <v>2010</v>
      </c>
      <c r="B144" s="40" t="s">
        <v>2014</v>
      </c>
      <c r="C144" s="40">
        <v>2</v>
      </c>
      <c r="D144" s="40">
        <v>4</v>
      </c>
      <c r="E144" s="40" t="s">
        <v>2015</v>
      </c>
      <c r="F144" s="40" t="s">
        <v>2016</v>
      </c>
    </row>
    <row r="145" spans="1:6" s="47" customFormat="1" x14ac:dyDescent="0.25">
      <c r="A145" s="40" t="s">
        <v>2010</v>
      </c>
      <c r="B145" s="40" t="s">
        <v>2017</v>
      </c>
      <c r="C145" s="40">
        <v>3</v>
      </c>
      <c r="D145" s="40">
        <v>3</v>
      </c>
      <c r="E145" s="40" t="s">
        <v>2018</v>
      </c>
      <c r="F145" s="40" t="s">
        <v>2019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N199"/>
  <sheetViews>
    <sheetView workbookViewId="0">
      <pane ySplit="1" topLeftCell="A2" activePane="bottomLeft" state="frozen"/>
      <selection pane="bottomLeft" activeCell="A2" sqref="A2"/>
    </sheetView>
  </sheetViews>
  <sheetFormatPr defaultRowHeight="15" x14ac:dyDescent="0.25"/>
  <cols>
    <col min="1" max="1" width="16.85546875" bestFit="1" customWidth="1"/>
    <col min="2" max="2" width="17.7109375" bestFit="1" customWidth="1"/>
    <col min="3" max="3" width="13.140625" bestFit="1" customWidth="1"/>
    <col min="4" max="4" width="8" style="9" bestFit="1" customWidth="1"/>
    <col min="5" max="5" width="6.5703125" style="1" bestFit="1" customWidth="1"/>
    <col min="6" max="6" width="10.28515625" style="1" bestFit="1" customWidth="1"/>
    <col min="7" max="7" width="10.7109375" style="1" bestFit="1" customWidth="1"/>
    <col min="8" max="8" width="9.28515625" style="1" bestFit="1" customWidth="1"/>
    <col min="9" max="9" width="8.140625" style="1" bestFit="1" customWidth="1"/>
    <col min="10" max="10" width="8.42578125" style="1" bestFit="1" customWidth="1"/>
    <col min="11" max="11" width="13.5703125" style="1" bestFit="1" customWidth="1"/>
    <col min="12" max="12" width="8.85546875" style="1" bestFit="1" customWidth="1"/>
    <col min="13" max="13" width="19.28515625" style="3" bestFit="1" customWidth="1"/>
    <col min="14" max="14" width="87.28515625" style="35" bestFit="1" customWidth="1"/>
    <col min="15" max="15" width="89.85546875" bestFit="1" customWidth="1"/>
  </cols>
  <sheetData>
    <row r="1" spans="1:14" s="3" customFormat="1" x14ac:dyDescent="0.25">
      <c r="A1" s="11" t="s">
        <v>176</v>
      </c>
      <c r="B1" s="3" t="s">
        <v>6</v>
      </c>
      <c r="C1" s="3" t="s">
        <v>10</v>
      </c>
      <c r="D1" s="11" t="s">
        <v>5</v>
      </c>
      <c r="E1" s="3" t="s">
        <v>8</v>
      </c>
      <c r="F1" s="3" t="s">
        <v>11</v>
      </c>
      <c r="G1" s="3" t="s">
        <v>7</v>
      </c>
      <c r="H1" s="3" t="s">
        <v>16</v>
      </c>
      <c r="I1" s="3" t="s">
        <v>12</v>
      </c>
      <c r="J1" s="3" t="s">
        <v>13</v>
      </c>
      <c r="K1" s="3" t="s">
        <v>19</v>
      </c>
      <c r="L1" s="3" t="s">
        <v>14</v>
      </c>
      <c r="M1" s="3" t="s">
        <v>790</v>
      </c>
      <c r="N1" s="36" t="s">
        <v>9</v>
      </c>
    </row>
    <row r="2" spans="1:14" x14ac:dyDescent="0.25">
      <c r="A2" s="19" t="s">
        <v>701</v>
      </c>
      <c r="B2" s="19" t="s">
        <v>1889</v>
      </c>
      <c r="C2" s="19" t="s">
        <v>785</v>
      </c>
      <c r="D2" s="37">
        <v>1</v>
      </c>
      <c r="E2" s="21">
        <v>1</v>
      </c>
      <c r="F2" s="21">
        <v>2</v>
      </c>
      <c r="G2" s="21"/>
      <c r="H2" s="21"/>
      <c r="I2" s="21">
        <v>1</v>
      </c>
      <c r="J2" s="21">
        <v>1</v>
      </c>
      <c r="K2" s="21" t="s">
        <v>17</v>
      </c>
      <c r="L2" s="21">
        <v>2</v>
      </c>
      <c r="M2" s="38" t="s">
        <v>1890</v>
      </c>
      <c r="N2" s="23"/>
    </row>
    <row r="3" spans="1:14" x14ac:dyDescent="0.25">
      <c r="A3" s="19" t="s">
        <v>701</v>
      </c>
      <c r="B3" s="19" t="s">
        <v>1889</v>
      </c>
      <c r="C3" s="19" t="s">
        <v>785</v>
      </c>
      <c r="D3" s="39" t="s">
        <v>15</v>
      </c>
      <c r="E3" s="21">
        <v>2</v>
      </c>
      <c r="F3" s="21">
        <v>3</v>
      </c>
      <c r="G3" s="21"/>
      <c r="H3" s="21"/>
      <c r="I3" s="21">
        <v>1</v>
      </c>
      <c r="J3" s="21">
        <v>1</v>
      </c>
      <c r="K3" s="21" t="s">
        <v>17</v>
      </c>
      <c r="L3" s="21">
        <v>2</v>
      </c>
      <c r="M3" s="38" t="s">
        <v>1890</v>
      </c>
      <c r="N3" s="23"/>
    </row>
    <row r="4" spans="1:14" x14ac:dyDescent="0.25">
      <c r="A4" s="19" t="s">
        <v>701</v>
      </c>
      <c r="B4" s="19" t="s">
        <v>1889</v>
      </c>
      <c r="C4" s="19" t="s">
        <v>785</v>
      </c>
      <c r="D4" s="37" t="s">
        <v>20</v>
      </c>
      <c r="E4" s="21">
        <v>3</v>
      </c>
      <c r="F4" s="21">
        <v>4</v>
      </c>
      <c r="G4" s="21"/>
      <c r="H4" s="21"/>
      <c r="I4" s="21">
        <v>1</v>
      </c>
      <c r="J4" s="21">
        <v>1</v>
      </c>
      <c r="K4" s="21" t="s">
        <v>17</v>
      </c>
      <c r="L4" s="21">
        <v>3</v>
      </c>
      <c r="M4" s="38" t="s">
        <v>1890</v>
      </c>
      <c r="N4" s="23"/>
    </row>
    <row r="5" spans="1:14" x14ac:dyDescent="0.25">
      <c r="A5" s="19" t="s">
        <v>701</v>
      </c>
      <c r="B5" s="19" t="s">
        <v>1889</v>
      </c>
      <c r="C5" s="19" t="s">
        <v>785</v>
      </c>
      <c r="D5" s="37" t="s">
        <v>786</v>
      </c>
      <c r="E5" s="21">
        <v>4</v>
      </c>
      <c r="F5" s="21">
        <v>5</v>
      </c>
      <c r="G5" s="21"/>
      <c r="H5" s="21"/>
      <c r="I5" s="21">
        <v>1</v>
      </c>
      <c r="J5" s="21">
        <v>1</v>
      </c>
      <c r="K5" s="21" t="s">
        <v>17</v>
      </c>
      <c r="L5" s="21">
        <v>3</v>
      </c>
      <c r="M5" s="38" t="s">
        <v>1890</v>
      </c>
      <c r="N5" s="23"/>
    </row>
    <row r="6" spans="1:14" x14ac:dyDescent="0.25">
      <c r="A6" s="19" t="s">
        <v>701</v>
      </c>
      <c r="B6" s="19" t="s">
        <v>1891</v>
      </c>
      <c r="C6" s="19" t="s">
        <v>785</v>
      </c>
      <c r="D6" s="37">
        <v>1</v>
      </c>
      <c r="E6" s="21">
        <v>2</v>
      </c>
      <c r="F6" s="21">
        <v>3</v>
      </c>
      <c r="G6" s="21"/>
      <c r="H6" s="21"/>
      <c r="I6" s="21">
        <v>1</v>
      </c>
      <c r="J6" s="21">
        <v>1</v>
      </c>
      <c r="K6" s="21" t="s">
        <v>18</v>
      </c>
      <c r="L6" s="21">
        <v>3</v>
      </c>
      <c r="M6" s="38" t="s">
        <v>1892</v>
      </c>
      <c r="N6" s="23"/>
    </row>
    <row r="7" spans="1:14" x14ac:dyDescent="0.25">
      <c r="A7" s="19" t="s">
        <v>701</v>
      </c>
      <c r="B7" s="19" t="s">
        <v>1891</v>
      </c>
      <c r="C7" s="19" t="s">
        <v>785</v>
      </c>
      <c r="D7" s="39" t="s">
        <v>15</v>
      </c>
      <c r="E7" s="21">
        <v>3</v>
      </c>
      <c r="F7" s="21">
        <v>4</v>
      </c>
      <c r="G7" s="21"/>
      <c r="H7" s="21"/>
      <c r="I7" s="21">
        <v>1</v>
      </c>
      <c r="J7" s="21">
        <v>1</v>
      </c>
      <c r="K7" s="21" t="s">
        <v>18</v>
      </c>
      <c r="L7" s="21">
        <v>3</v>
      </c>
      <c r="M7" s="38" t="s">
        <v>1892</v>
      </c>
      <c r="N7" s="23"/>
    </row>
    <row r="8" spans="1:14" x14ac:dyDescent="0.25">
      <c r="A8" s="19" t="s">
        <v>701</v>
      </c>
      <c r="B8" s="19" t="s">
        <v>1891</v>
      </c>
      <c r="C8" s="19" t="s">
        <v>785</v>
      </c>
      <c r="D8" s="37" t="s">
        <v>20</v>
      </c>
      <c r="E8" s="21">
        <v>4</v>
      </c>
      <c r="F8" s="21">
        <v>5</v>
      </c>
      <c r="G8" s="21"/>
      <c r="H8" s="21"/>
      <c r="I8" s="21">
        <v>1</v>
      </c>
      <c r="J8" s="21">
        <v>1</v>
      </c>
      <c r="K8" s="21" t="s">
        <v>18</v>
      </c>
      <c r="L8" s="21">
        <v>4</v>
      </c>
      <c r="M8" s="38" t="s">
        <v>1892</v>
      </c>
      <c r="N8" s="23"/>
    </row>
    <row r="9" spans="1:14" x14ac:dyDescent="0.25">
      <c r="A9" s="19" t="s">
        <v>701</v>
      </c>
      <c r="B9" s="19" t="s">
        <v>1891</v>
      </c>
      <c r="C9" s="19" t="s">
        <v>785</v>
      </c>
      <c r="D9" s="37" t="s">
        <v>786</v>
      </c>
      <c r="E9" s="21">
        <v>5</v>
      </c>
      <c r="F9" s="21">
        <v>6</v>
      </c>
      <c r="G9" s="21"/>
      <c r="H9" s="21"/>
      <c r="I9" s="21">
        <v>1</v>
      </c>
      <c r="J9" s="21">
        <v>1</v>
      </c>
      <c r="K9" s="21" t="s">
        <v>18</v>
      </c>
      <c r="L9" s="21">
        <v>4</v>
      </c>
      <c r="M9" s="38" t="s">
        <v>1892</v>
      </c>
      <c r="N9" s="23"/>
    </row>
    <row r="10" spans="1:14" x14ac:dyDescent="0.25">
      <c r="A10" s="19" t="s">
        <v>701</v>
      </c>
      <c r="B10" s="19" t="s">
        <v>1893</v>
      </c>
      <c r="C10" s="19" t="s">
        <v>785</v>
      </c>
      <c r="D10" s="37">
        <v>1</v>
      </c>
      <c r="E10" s="21">
        <v>2</v>
      </c>
      <c r="F10" s="21">
        <v>4</v>
      </c>
      <c r="G10" s="21"/>
      <c r="H10" s="21">
        <v>1</v>
      </c>
      <c r="I10" s="21">
        <v>2</v>
      </c>
      <c r="J10" s="21">
        <v>1</v>
      </c>
      <c r="K10" s="21" t="s">
        <v>18</v>
      </c>
      <c r="L10" s="21">
        <v>3</v>
      </c>
      <c r="M10" s="38" t="s">
        <v>1892</v>
      </c>
      <c r="N10" s="23"/>
    </row>
    <row r="11" spans="1:14" x14ac:dyDescent="0.25">
      <c r="A11" s="19" t="s">
        <v>701</v>
      </c>
      <c r="B11" s="19" t="s">
        <v>1893</v>
      </c>
      <c r="C11" s="19" t="s">
        <v>785</v>
      </c>
      <c r="D11" s="39" t="s">
        <v>15</v>
      </c>
      <c r="E11" s="21">
        <v>3</v>
      </c>
      <c r="F11" s="21">
        <v>5</v>
      </c>
      <c r="G11" s="21"/>
      <c r="H11" s="21">
        <v>1</v>
      </c>
      <c r="I11" s="21">
        <v>2</v>
      </c>
      <c r="J11" s="21">
        <v>1</v>
      </c>
      <c r="K11" s="21" t="s">
        <v>18</v>
      </c>
      <c r="L11" s="21">
        <v>3</v>
      </c>
      <c r="M11" s="38" t="s">
        <v>1892</v>
      </c>
      <c r="N11" s="23"/>
    </row>
    <row r="12" spans="1:14" x14ac:dyDescent="0.25">
      <c r="A12" s="19" t="s">
        <v>701</v>
      </c>
      <c r="B12" s="19" t="s">
        <v>1893</v>
      </c>
      <c r="C12" s="19" t="s">
        <v>785</v>
      </c>
      <c r="D12" s="37" t="s">
        <v>20</v>
      </c>
      <c r="E12" s="21">
        <v>4</v>
      </c>
      <c r="F12" s="21">
        <v>6</v>
      </c>
      <c r="G12" s="21"/>
      <c r="H12" s="21">
        <v>2</v>
      </c>
      <c r="I12" s="21">
        <v>2</v>
      </c>
      <c r="J12" s="21">
        <v>1</v>
      </c>
      <c r="K12" s="21" t="s">
        <v>18</v>
      </c>
      <c r="L12" s="21">
        <v>4</v>
      </c>
      <c r="M12" s="38" t="s">
        <v>1892</v>
      </c>
      <c r="N12" s="23"/>
    </row>
    <row r="13" spans="1:14" x14ac:dyDescent="0.25">
      <c r="A13" s="19" t="s">
        <v>701</v>
      </c>
      <c r="B13" s="19" t="s">
        <v>1893</v>
      </c>
      <c r="C13" s="19" t="s">
        <v>785</v>
      </c>
      <c r="D13" s="37" t="s">
        <v>786</v>
      </c>
      <c r="E13" s="21">
        <v>5</v>
      </c>
      <c r="F13" s="21">
        <v>7</v>
      </c>
      <c r="G13" s="21"/>
      <c r="H13" s="21">
        <v>2</v>
      </c>
      <c r="I13" s="21">
        <v>2</v>
      </c>
      <c r="J13" s="21">
        <v>1</v>
      </c>
      <c r="K13" s="21" t="s">
        <v>18</v>
      </c>
      <c r="L13" s="21">
        <v>4</v>
      </c>
      <c r="M13" s="38" t="s">
        <v>1892</v>
      </c>
      <c r="N13" s="23"/>
    </row>
    <row r="14" spans="1:14" x14ac:dyDescent="0.25">
      <c r="A14" s="19" t="s">
        <v>701</v>
      </c>
      <c r="B14" s="19" t="s">
        <v>1894</v>
      </c>
      <c r="C14" s="19" t="s">
        <v>930</v>
      </c>
      <c r="D14" s="37">
        <v>1</v>
      </c>
      <c r="E14" s="21">
        <v>3</v>
      </c>
      <c r="F14" s="21">
        <v>5</v>
      </c>
      <c r="G14" s="21"/>
      <c r="H14" s="21"/>
      <c r="I14" s="21">
        <v>2</v>
      </c>
      <c r="J14" s="21">
        <v>1</v>
      </c>
      <c r="K14" s="21" t="s">
        <v>17</v>
      </c>
      <c r="L14" s="21">
        <v>3</v>
      </c>
      <c r="M14" s="38" t="s">
        <v>1895</v>
      </c>
      <c r="N14" s="23" t="s">
        <v>1896</v>
      </c>
    </row>
    <row r="15" spans="1:14" x14ac:dyDescent="0.25">
      <c r="A15" s="19" t="s">
        <v>701</v>
      </c>
      <c r="B15" s="19" t="s">
        <v>1894</v>
      </c>
      <c r="C15" s="19" t="s">
        <v>930</v>
      </c>
      <c r="D15" s="39" t="s">
        <v>15</v>
      </c>
      <c r="E15" s="21">
        <v>4</v>
      </c>
      <c r="F15" s="21">
        <v>6</v>
      </c>
      <c r="G15" s="21"/>
      <c r="H15" s="21"/>
      <c r="I15" s="21">
        <v>2</v>
      </c>
      <c r="J15" s="21">
        <v>1</v>
      </c>
      <c r="K15" s="21" t="s">
        <v>17</v>
      </c>
      <c r="L15" s="21">
        <v>3</v>
      </c>
      <c r="M15" s="38" t="s">
        <v>1895</v>
      </c>
      <c r="N15" s="23" t="s">
        <v>1896</v>
      </c>
    </row>
    <row r="16" spans="1:14" x14ac:dyDescent="0.25">
      <c r="A16" s="19" t="s">
        <v>701</v>
      </c>
      <c r="B16" s="19" t="s">
        <v>1894</v>
      </c>
      <c r="C16" s="19" t="s">
        <v>930</v>
      </c>
      <c r="D16" s="37" t="s">
        <v>20</v>
      </c>
      <c r="E16" s="21">
        <v>5</v>
      </c>
      <c r="F16" s="21">
        <v>7</v>
      </c>
      <c r="G16" s="21"/>
      <c r="H16" s="21"/>
      <c r="I16" s="21">
        <v>2</v>
      </c>
      <c r="J16" s="21">
        <v>1</v>
      </c>
      <c r="K16" s="21" t="s">
        <v>17</v>
      </c>
      <c r="L16" s="21">
        <v>4</v>
      </c>
      <c r="M16" s="38" t="s">
        <v>1895</v>
      </c>
      <c r="N16" s="23" t="s">
        <v>1896</v>
      </c>
    </row>
    <row r="17" spans="1:14" x14ac:dyDescent="0.25">
      <c r="A17" s="19" t="s">
        <v>701</v>
      </c>
      <c r="B17" s="19" t="s">
        <v>1894</v>
      </c>
      <c r="C17" s="19" t="s">
        <v>930</v>
      </c>
      <c r="D17" s="37" t="s">
        <v>786</v>
      </c>
      <c r="E17" s="21">
        <v>7</v>
      </c>
      <c r="F17" s="21">
        <v>7</v>
      </c>
      <c r="G17" s="21"/>
      <c r="H17" s="21"/>
      <c r="I17" s="21">
        <v>2</v>
      </c>
      <c r="J17" s="21">
        <v>1</v>
      </c>
      <c r="K17" s="21" t="s">
        <v>17</v>
      </c>
      <c r="L17" s="21">
        <v>4</v>
      </c>
      <c r="M17" s="38" t="s">
        <v>1895</v>
      </c>
      <c r="N17" s="23" t="s">
        <v>1896</v>
      </c>
    </row>
    <row r="18" spans="1:14" x14ac:dyDescent="0.25">
      <c r="A18" s="19" t="s">
        <v>701</v>
      </c>
      <c r="B18" s="19" t="s">
        <v>1897</v>
      </c>
      <c r="C18" s="19" t="s">
        <v>930</v>
      </c>
      <c r="D18" s="37">
        <v>1</v>
      </c>
      <c r="E18" s="21">
        <v>3</v>
      </c>
      <c r="F18" s="21">
        <v>5</v>
      </c>
      <c r="G18" s="21"/>
      <c r="H18" s="21"/>
      <c r="I18" s="21">
        <v>2</v>
      </c>
      <c r="J18" s="21">
        <v>1</v>
      </c>
      <c r="K18" s="21" t="s">
        <v>18</v>
      </c>
      <c r="L18" s="21">
        <v>4</v>
      </c>
      <c r="M18" s="38" t="s">
        <v>1898</v>
      </c>
      <c r="N18" s="23" t="s">
        <v>1899</v>
      </c>
    </row>
    <row r="19" spans="1:14" x14ac:dyDescent="0.25">
      <c r="A19" s="19" t="s">
        <v>701</v>
      </c>
      <c r="B19" s="19" t="s">
        <v>1897</v>
      </c>
      <c r="C19" s="19" t="s">
        <v>930</v>
      </c>
      <c r="D19" s="39" t="s">
        <v>15</v>
      </c>
      <c r="E19" s="21">
        <v>4</v>
      </c>
      <c r="F19" s="21">
        <v>6</v>
      </c>
      <c r="G19" s="21"/>
      <c r="H19" s="21"/>
      <c r="I19" s="21">
        <v>2</v>
      </c>
      <c r="J19" s="21">
        <v>1</v>
      </c>
      <c r="K19" s="21" t="s">
        <v>18</v>
      </c>
      <c r="L19" s="21">
        <v>4</v>
      </c>
      <c r="M19" s="38" t="s">
        <v>1898</v>
      </c>
      <c r="N19" s="23" t="s">
        <v>1899</v>
      </c>
    </row>
    <row r="20" spans="1:14" x14ac:dyDescent="0.25">
      <c r="A20" s="19" t="s">
        <v>701</v>
      </c>
      <c r="B20" s="19" t="s">
        <v>1897</v>
      </c>
      <c r="C20" s="19" t="s">
        <v>930</v>
      </c>
      <c r="D20" s="37" t="s">
        <v>20</v>
      </c>
      <c r="E20" s="21">
        <v>5</v>
      </c>
      <c r="F20" s="21">
        <v>7</v>
      </c>
      <c r="G20" s="21"/>
      <c r="H20" s="21"/>
      <c r="I20" s="21">
        <v>2</v>
      </c>
      <c r="J20" s="21">
        <v>1</v>
      </c>
      <c r="K20" s="21" t="s">
        <v>18</v>
      </c>
      <c r="L20" s="21">
        <v>5</v>
      </c>
      <c r="M20" s="38" t="s">
        <v>1898</v>
      </c>
      <c r="N20" s="23" t="s">
        <v>1899</v>
      </c>
    </row>
    <row r="21" spans="1:14" x14ac:dyDescent="0.25">
      <c r="A21" s="19" t="s">
        <v>701</v>
      </c>
      <c r="B21" s="19" t="s">
        <v>1897</v>
      </c>
      <c r="C21" s="19" t="s">
        <v>930</v>
      </c>
      <c r="D21" s="37" t="s">
        <v>786</v>
      </c>
      <c r="E21" s="21">
        <v>7</v>
      </c>
      <c r="F21" s="21">
        <v>7</v>
      </c>
      <c r="G21" s="21"/>
      <c r="H21" s="21"/>
      <c r="I21" s="21">
        <v>2</v>
      </c>
      <c r="J21" s="21">
        <v>1</v>
      </c>
      <c r="K21" s="21" t="s">
        <v>18</v>
      </c>
      <c r="L21" s="21">
        <v>5</v>
      </c>
      <c r="M21" s="38" t="s">
        <v>1898</v>
      </c>
      <c r="N21" s="23" t="s">
        <v>1899</v>
      </c>
    </row>
    <row r="22" spans="1:14" x14ac:dyDescent="0.25">
      <c r="A22" s="19" t="s">
        <v>701</v>
      </c>
      <c r="B22" s="19" t="s">
        <v>1900</v>
      </c>
      <c r="C22" s="19" t="s">
        <v>937</v>
      </c>
      <c r="D22" s="37">
        <v>1</v>
      </c>
      <c r="E22" s="21">
        <v>5</v>
      </c>
      <c r="F22" s="21">
        <v>6</v>
      </c>
      <c r="G22" s="21">
        <v>1</v>
      </c>
      <c r="H22" s="21"/>
      <c r="I22" s="21">
        <v>3</v>
      </c>
      <c r="J22" s="21">
        <v>2</v>
      </c>
      <c r="K22" s="21" t="s">
        <v>18</v>
      </c>
      <c r="L22" s="21">
        <v>4</v>
      </c>
      <c r="M22" s="38" t="s">
        <v>1901</v>
      </c>
      <c r="N22" s="23" t="s">
        <v>541</v>
      </c>
    </row>
    <row r="23" spans="1:14" x14ac:dyDescent="0.25">
      <c r="A23" s="19" t="s">
        <v>701</v>
      </c>
      <c r="B23" s="19" t="s">
        <v>1900</v>
      </c>
      <c r="C23" s="19" t="s">
        <v>937</v>
      </c>
      <c r="D23" s="39" t="s">
        <v>15</v>
      </c>
      <c r="E23" s="21">
        <v>6</v>
      </c>
      <c r="F23" s="21">
        <v>7</v>
      </c>
      <c r="G23" s="21">
        <v>1</v>
      </c>
      <c r="H23" s="21"/>
      <c r="I23" s="21">
        <v>3</v>
      </c>
      <c r="J23" s="21">
        <v>2</v>
      </c>
      <c r="K23" s="21" t="s">
        <v>18</v>
      </c>
      <c r="L23" s="21">
        <v>4</v>
      </c>
      <c r="M23" s="38" t="s">
        <v>1901</v>
      </c>
      <c r="N23" s="23" t="s">
        <v>541</v>
      </c>
    </row>
    <row r="24" spans="1:14" x14ac:dyDescent="0.25">
      <c r="A24" s="19" t="s">
        <v>701</v>
      </c>
      <c r="B24" s="19" t="s">
        <v>1900</v>
      </c>
      <c r="C24" s="19" t="s">
        <v>937</v>
      </c>
      <c r="D24" s="37" t="s">
        <v>20</v>
      </c>
      <c r="E24" s="21">
        <v>7</v>
      </c>
      <c r="F24" s="21">
        <v>9</v>
      </c>
      <c r="G24" s="21">
        <v>2</v>
      </c>
      <c r="H24" s="21"/>
      <c r="I24" s="21">
        <v>3</v>
      </c>
      <c r="J24" s="21">
        <v>2</v>
      </c>
      <c r="K24" s="21" t="s">
        <v>18</v>
      </c>
      <c r="L24" s="21">
        <v>5</v>
      </c>
      <c r="M24" s="38" t="s">
        <v>1901</v>
      </c>
      <c r="N24" s="23" t="s">
        <v>541</v>
      </c>
    </row>
    <row r="25" spans="1:14" x14ac:dyDescent="0.25">
      <c r="A25" s="19" t="s">
        <v>701</v>
      </c>
      <c r="B25" s="19" t="s">
        <v>1900</v>
      </c>
      <c r="C25" s="19" t="s">
        <v>937</v>
      </c>
      <c r="D25" s="37" t="s">
        <v>786</v>
      </c>
      <c r="E25" s="21">
        <v>8</v>
      </c>
      <c r="F25" s="21">
        <v>9</v>
      </c>
      <c r="G25" s="21">
        <v>2</v>
      </c>
      <c r="H25" s="21"/>
      <c r="I25" s="21">
        <v>3</v>
      </c>
      <c r="J25" s="21">
        <v>2</v>
      </c>
      <c r="K25" s="21" t="s">
        <v>18</v>
      </c>
      <c r="L25" s="21">
        <v>5</v>
      </c>
      <c r="M25" s="38" t="s">
        <v>1901</v>
      </c>
      <c r="N25" s="23" t="s">
        <v>541</v>
      </c>
    </row>
    <row r="26" spans="1:14" x14ac:dyDescent="0.25">
      <c r="A26" s="19" t="s">
        <v>701</v>
      </c>
      <c r="B26" s="19" t="s">
        <v>1902</v>
      </c>
      <c r="C26" s="19" t="s">
        <v>937</v>
      </c>
      <c r="D26" s="37">
        <v>1</v>
      </c>
      <c r="E26" s="21">
        <v>4</v>
      </c>
      <c r="F26" s="21">
        <v>6</v>
      </c>
      <c r="G26" s="21">
        <v>2</v>
      </c>
      <c r="H26" s="21"/>
      <c r="I26" s="21">
        <v>3</v>
      </c>
      <c r="J26" s="21">
        <v>2</v>
      </c>
      <c r="K26" s="21" t="s">
        <v>18</v>
      </c>
      <c r="L26" s="21">
        <v>4</v>
      </c>
      <c r="M26" s="38" t="s">
        <v>1903</v>
      </c>
      <c r="N26" s="23" t="s">
        <v>1904</v>
      </c>
    </row>
    <row r="27" spans="1:14" x14ac:dyDescent="0.25">
      <c r="A27" s="19" t="s">
        <v>701</v>
      </c>
      <c r="B27" s="19" t="s">
        <v>1902</v>
      </c>
      <c r="C27" s="19" t="s">
        <v>937</v>
      </c>
      <c r="D27" s="39" t="s">
        <v>15</v>
      </c>
      <c r="E27" s="21">
        <v>5</v>
      </c>
      <c r="F27" s="21">
        <v>7</v>
      </c>
      <c r="G27" s="21">
        <v>2</v>
      </c>
      <c r="H27" s="21"/>
      <c r="I27" s="21">
        <v>3</v>
      </c>
      <c r="J27" s="21">
        <v>2</v>
      </c>
      <c r="K27" s="21" t="s">
        <v>18</v>
      </c>
      <c r="L27" s="21">
        <v>4</v>
      </c>
      <c r="M27" s="38" t="s">
        <v>1903</v>
      </c>
      <c r="N27" s="23" t="s">
        <v>1904</v>
      </c>
    </row>
    <row r="28" spans="1:14" x14ac:dyDescent="0.25">
      <c r="A28" s="19" t="s">
        <v>701</v>
      </c>
      <c r="B28" s="19" t="s">
        <v>1902</v>
      </c>
      <c r="C28" s="19" t="s">
        <v>937</v>
      </c>
      <c r="D28" s="37" t="s">
        <v>20</v>
      </c>
      <c r="E28" s="21">
        <v>6</v>
      </c>
      <c r="F28" s="21">
        <v>8</v>
      </c>
      <c r="G28" s="21">
        <v>3</v>
      </c>
      <c r="H28" s="21"/>
      <c r="I28" s="21">
        <v>3</v>
      </c>
      <c r="J28" s="21">
        <v>2</v>
      </c>
      <c r="K28" s="21" t="s">
        <v>18</v>
      </c>
      <c r="L28" s="21">
        <v>5</v>
      </c>
      <c r="M28" s="38" t="s">
        <v>1903</v>
      </c>
      <c r="N28" s="23" t="s">
        <v>1904</v>
      </c>
    </row>
    <row r="29" spans="1:14" x14ac:dyDescent="0.25">
      <c r="A29" s="19" t="s">
        <v>701</v>
      </c>
      <c r="B29" s="19" t="s">
        <v>1902</v>
      </c>
      <c r="C29" s="19" t="s">
        <v>937</v>
      </c>
      <c r="D29" s="37" t="s">
        <v>786</v>
      </c>
      <c r="E29" s="21">
        <v>8</v>
      </c>
      <c r="F29" s="21">
        <v>8</v>
      </c>
      <c r="G29" s="21">
        <v>3</v>
      </c>
      <c r="H29" s="21"/>
      <c r="I29" s="21">
        <v>3</v>
      </c>
      <c r="J29" s="21">
        <v>2</v>
      </c>
      <c r="K29" s="21" t="s">
        <v>18</v>
      </c>
      <c r="L29" s="21">
        <v>5</v>
      </c>
      <c r="M29" s="38" t="s">
        <v>1903</v>
      </c>
      <c r="N29" s="23" t="s">
        <v>1904</v>
      </c>
    </row>
    <row r="30" spans="1:14" x14ac:dyDescent="0.25">
      <c r="A30" s="19" t="s">
        <v>701</v>
      </c>
      <c r="B30" s="19" t="s">
        <v>1905</v>
      </c>
      <c r="C30" s="19" t="s">
        <v>930</v>
      </c>
      <c r="D30" s="37">
        <v>1</v>
      </c>
      <c r="E30" s="21">
        <v>3</v>
      </c>
      <c r="F30" s="21">
        <v>5</v>
      </c>
      <c r="G30" s="21"/>
      <c r="H30" s="21"/>
      <c r="I30" s="21">
        <v>2</v>
      </c>
      <c r="J30" s="21">
        <v>1</v>
      </c>
      <c r="K30" s="21" t="s">
        <v>17</v>
      </c>
      <c r="L30" s="21">
        <v>3</v>
      </c>
      <c r="M30" s="38" t="s">
        <v>1906</v>
      </c>
      <c r="N30" s="23" t="s">
        <v>1907</v>
      </c>
    </row>
    <row r="31" spans="1:14" x14ac:dyDescent="0.25">
      <c r="A31" s="19" t="s">
        <v>701</v>
      </c>
      <c r="B31" s="19" t="s">
        <v>1905</v>
      </c>
      <c r="C31" s="19" t="s">
        <v>930</v>
      </c>
      <c r="D31" s="39" t="s">
        <v>15</v>
      </c>
      <c r="E31" s="21">
        <v>4</v>
      </c>
      <c r="F31" s="21">
        <v>6</v>
      </c>
      <c r="G31" s="21"/>
      <c r="H31" s="21"/>
      <c r="I31" s="21">
        <v>2</v>
      </c>
      <c r="J31" s="21">
        <v>1</v>
      </c>
      <c r="K31" s="21" t="s">
        <v>17</v>
      </c>
      <c r="L31" s="21">
        <v>4</v>
      </c>
      <c r="M31" s="38" t="s">
        <v>1906</v>
      </c>
      <c r="N31" s="23" t="s">
        <v>1907</v>
      </c>
    </row>
    <row r="32" spans="1:14" x14ac:dyDescent="0.25">
      <c r="A32" s="19" t="s">
        <v>701</v>
      </c>
      <c r="B32" s="19" t="s">
        <v>1905</v>
      </c>
      <c r="C32" s="19" t="s">
        <v>930</v>
      </c>
      <c r="D32" s="37" t="s">
        <v>20</v>
      </c>
      <c r="E32" s="21">
        <v>5</v>
      </c>
      <c r="F32" s="21">
        <v>7</v>
      </c>
      <c r="G32" s="21"/>
      <c r="H32" s="21"/>
      <c r="I32" s="21">
        <v>2</v>
      </c>
      <c r="J32" s="21">
        <v>1</v>
      </c>
      <c r="K32" s="21" t="s">
        <v>17</v>
      </c>
      <c r="L32" s="21">
        <v>4</v>
      </c>
      <c r="M32" s="38" t="s">
        <v>1906</v>
      </c>
      <c r="N32" s="23" t="s">
        <v>1907</v>
      </c>
    </row>
    <row r="33" spans="1:14" x14ac:dyDescent="0.25">
      <c r="A33" s="19" t="s">
        <v>701</v>
      </c>
      <c r="B33" s="19" t="s">
        <v>1905</v>
      </c>
      <c r="C33" s="19" t="s">
        <v>930</v>
      </c>
      <c r="D33" s="37" t="s">
        <v>786</v>
      </c>
      <c r="E33" s="21">
        <v>7</v>
      </c>
      <c r="F33" s="21">
        <v>8</v>
      </c>
      <c r="G33" s="21"/>
      <c r="H33" s="21"/>
      <c r="I33" s="21">
        <v>2</v>
      </c>
      <c r="J33" s="21">
        <v>1</v>
      </c>
      <c r="K33" s="21" t="s">
        <v>17</v>
      </c>
      <c r="L33" s="21">
        <v>5</v>
      </c>
      <c r="M33" s="38" t="s">
        <v>1906</v>
      </c>
      <c r="N33" s="23" t="s">
        <v>1907</v>
      </c>
    </row>
    <row r="34" spans="1:14" x14ac:dyDescent="0.25">
      <c r="A34" s="19" t="s">
        <v>701</v>
      </c>
      <c r="B34" s="19" t="s">
        <v>1908</v>
      </c>
      <c r="C34" s="19" t="s">
        <v>930</v>
      </c>
      <c r="D34" s="37">
        <v>1</v>
      </c>
      <c r="E34" s="21">
        <v>3</v>
      </c>
      <c r="F34" s="21">
        <v>5</v>
      </c>
      <c r="G34" s="21"/>
      <c r="H34" s="21"/>
      <c r="I34" s="21">
        <v>2</v>
      </c>
      <c r="J34" s="21">
        <v>1</v>
      </c>
      <c r="K34" s="21" t="s">
        <v>18</v>
      </c>
      <c r="L34" s="21">
        <v>3</v>
      </c>
      <c r="M34" s="38" t="s">
        <v>1909</v>
      </c>
      <c r="N34" s="23" t="s">
        <v>1910</v>
      </c>
    </row>
    <row r="35" spans="1:14" x14ac:dyDescent="0.25">
      <c r="A35" s="19" t="s">
        <v>701</v>
      </c>
      <c r="B35" s="19" t="s">
        <v>1908</v>
      </c>
      <c r="C35" s="19" t="s">
        <v>930</v>
      </c>
      <c r="D35" s="39" t="s">
        <v>15</v>
      </c>
      <c r="E35" s="21">
        <v>4</v>
      </c>
      <c r="F35" s="21">
        <v>6</v>
      </c>
      <c r="G35" s="21"/>
      <c r="H35" s="21"/>
      <c r="I35" s="21">
        <v>2</v>
      </c>
      <c r="J35" s="21">
        <v>1</v>
      </c>
      <c r="K35" s="21" t="s">
        <v>18</v>
      </c>
      <c r="L35" s="21">
        <v>4</v>
      </c>
      <c r="M35" s="38" t="s">
        <v>1909</v>
      </c>
      <c r="N35" s="23" t="s">
        <v>1910</v>
      </c>
    </row>
    <row r="36" spans="1:14" x14ac:dyDescent="0.25">
      <c r="A36" s="19" t="s">
        <v>701</v>
      </c>
      <c r="B36" s="19" t="s">
        <v>1908</v>
      </c>
      <c r="C36" s="19" t="s">
        <v>930</v>
      </c>
      <c r="D36" s="37" t="s">
        <v>20</v>
      </c>
      <c r="E36" s="21">
        <v>5</v>
      </c>
      <c r="F36" s="21">
        <v>7</v>
      </c>
      <c r="G36" s="21"/>
      <c r="H36" s="21"/>
      <c r="I36" s="21">
        <v>2</v>
      </c>
      <c r="J36" s="21">
        <v>1</v>
      </c>
      <c r="K36" s="21" t="s">
        <v>18</v>
      </c>
      <c r="L36" s="21">
        <v>4</v>
      </c>
      <c r="M36" s="38" t="s">
        <v>1909</v>
      </c>
      <c r="N36" s="23" t="s">
        <v>1910</v>
      </c>
    </row>
    <row r="37" spans="1:14" x14ac:dyDescent="0.25">
      <c r="A37" s="19" t="s">
        <v>701</v>
      </c>
      <c r="B37" s="19" t="s">
        <v>1908</v>
      </c>
      <c r="C37" s="19" t="s">
        <v>930</v>
      </c>
      <c r="D37" s="37" t="s">
        <v>786</v>
      </c>
      <c r="E37" s="21">
        <v>7</v>
      </c>
      <c r="F37" s="21">
        <v>8</v>
      </c>
      <c r="G37" s="21"/>
      <c r="H37" s="21"/>
      <c r="I37" s="21">
        <v>2</v>
      </c>
      <c r="J37" s="21">
        <v>1</v>
      </c>
      <c r="K37" s="21" t="s">
        <v>18</v>
      </c>
      <c r="L37" s="21">
        <v>5</v>
      </c>
      <c r="M37" s="38" t="s">
        <v>1909</v>
      </c>
      <c r="N37" s="23" t="s">
        <v>1910</v>
      </c>
    </row>
    <row r="38" spans="1:14" x14ac:dyDescent="0.25">
      <c r="A38" s="19" t="s">
        <v>701</v>
      </c>
      <c r="B38" s="19" t="s">
        <v>1796</v>
      </c>
      <c r="C38" s="19" t="s">
        <v>77</v>
      </c>
      <c r="D38" s="37">
        <v>1</v>
      </c>
      <c r="E38" s="21">
        <v>5</v>
      </c>
      <c r="F38" s="21">
        <v>7</v>
      </c>
      <c r="G38" s="21"/>
      <c r="H38" s="21"/>
      <c r="I38" s="21">
        <v>3</v>
      </c>
      <c r="J38" s="21">
        <v>1</v>
      </c>
      <c r="K38" s="21" t="s">
        <v>17</v>
      </c>
      <c r="L38" s="21">
        <v>4</v>
      </c>
      <c r="M38" s="38" t="s">
        <v>1911</v>
      </c>
      <c r="N38" s="23" t="s">
        <v>1912</v>
      </c>
    </row>
    <row r="39" spans="1:14" x14ac:dyDescent="0.25">
      <c r="A39" s="19" t="s">
        <v>701</v>
      </c>
      <c r="B39" s="19" t="s">
        <v>1796</v>
      </c>
      <c r="C39" s="19" t="s">
        <v>77</v>
      </c>
      <c r="D39" s="39" t="s">
        <v>15</v>
      </c>
      <c r="E39" s="21">
        <v>7</v>
      </c>
      <c r="F39" s="21">
        <v>8</v>
      </c>
      <c r="G39" s="21"/>
      <c r="H39" s="21"/>
      <c r="I39" s="21">
        <v>3</v>
      </c>
      <c r="J39" s="21">
        <v>1</v>
      </c>
      <c r="K39" s="21" t="s">
        <v>17</v>
      </c>
      <c r="L39" s="21">
        <v>4</v>
      </c>
      <c r="M39" s="38" t="s">
        <v>1911</v>
      </c>
      <c r="N39" s="23" t="s">
        <v>1912</v>
      </c>
    </row>
    <row r="40" spans="1:14" x14ac:dyDescent="0.25">
      <c r="A40" s="19" t="s">
        <v>701</v>
      </c>
      <c r="B40" s="19" t="s">
        <v>1796</v>
      </c>
      <c r="C40" s="19" t="s">
        <v>77</v>
      </c>
      <c r="D40" s="37" t="s">
        <v>20</v>
      </c>
      <c r="E40" s="21">
        <v>8</v>
      </c>
      <c r="F40" s="21">
        <v>9</v>
      </c>
      <c r="G40" s="21">
        <v>2</v>
      </c>
      <c r="H40" s="21"/>
      <c r="I40" s="21">
        <v>3</v>
      </c>
      <c r="J40" s="21">
        <v>1</v>
      </c>
      <c r="K40" s="21" t="s">
        <v>17</v>
      </c>
      <c r="L40" s="21">
        <v>5</v>
      </c>
      <c r="M40" s="38" t="s">
        <v>1911</v>
      </c>
      <c r="N40" s="23" t="s">
        <v>1912</v>
      </c>
    </row>
    <row r="41" spans="1:14" ht="30" x14ac:dyDescent="0.25">
      <c r="A41" s="19" t="s">
        <v>701</v>
      </c>
      <c r="B41" s="19" t="s">
        <v>1796</v>
      </c>
      <c r="C41" s="19" t="s">
        <v>77</v>
      </c>
      <c r="D41" s="37" t="s">
        <v>786</v>
      </c>
      <c r="E41" s="21">
        <v>13</v>
      </c>
      <c r="F41" s="21"/>
      <c r="G41" s="21">
        <v>4</v>
      </c>
      <c r="H41" s="21"/>
      <c r="I41" s="21">
        <v>4</v>
      </c>
      <c r="J41" s="21">
        <v>1</v>
      </c>
      <c r="K41" s="21" t="s">
        <v>17</v>
      </c>
      <c r="L41" s="21">
        <v>5</v>
      </c>
      <c r="M41" s="38" t="s">
        <v>1911</v>
      </c>
      <c r="N41" s="23" t="s">
        <v>1913</v>
      </c>
    </row>
    <row r="42" spans="1:14" x14ac:dyDescent="0.25">
      <c r="A42" s="19" t="s">
        <v>701</v>
      </c>
      <c r="B42" s="19" t="s">
        <v>1917</v>
      </c>
      <c r="C42" s="19" t="s">
        <v>937</v>
      </c>
      <c r="D42" s="37"/>
      <c r="E42" s="21">
        <v>5</v>
      </c>
      <c r="F42" s="21">
        <v>7</v>
      </c>
      <c r="G42" s="21">
        <v>3</v>
      </c>
      <c r="H42" s="21">
        <v>2</v>
      </c>
      <c r="I42" s="21">
        <v>3</v>
      </c>
      <c r="J42" s="21">
        <v>2</v>
      </c>
      <c r="K42" s="21" t="s">
        <v>18</v>
      </c>
      <c r="L42" s="21">
        <v>4</v>
      </c>
      <c r="M42" s="38" t="s">
        <v>1903</v>
      </c>
      <c r="N42" s="23" t="s">
        <v>1904</v>
      </c>
    </row>
    <row r="43" spans="1:14" x14ac:dyDescent="0.25">
      <c r="A43" s="19" t="s">
        <v>701</v>
      </c>
      <c r="B43" s="19" t="s">
        <v>1919</v>
      </c>
      <c r="C43" s="19" t="s">
        <v>937</v>
      </c>
      <c r="D43" s="37"/>
      <c r="E43" s="21">
        <v>6</v>
      </c>
      <c r="F43" s="21">
        <v>7</v>
      </c>
      <c r="G43" s="21">
        <v>2</v>
      </c>
      <c r="H43" s="21">
        <v>2</v>
      </c>
      <c r="I43" s="21">
        <v>3</v>
      </c>
      <c r="J43" s="21">
        <v>2</v>
      </c>
      <c r="K43" s="21" t="s">
        <v>18</v>
      </c>
      <c r="L43" s="21">
        <v>4</v>
      </c>
      <c r="M43" s="38" t="s">
        <v>1901</v>
      </c>
      <c r="N43" s="23" t="s">
        <v>541</v>
      </c>
    </row>
    <row r="44" spans="1:14" x14ac:dyDescent="0.25">
      <c r="A44" s="19" t="s">
        <v>1914</v>
      </c>
      <c r="B44" s="19" t="s">
        <v>1781</v>
      </c>
      <c r="C44" s="19" t="s">
        <v>77</v>
      </c>
      <c r="D44" s="37">
        <v>1</v>
      </c>
      <c r="E44" s="21">
        <v>4</v>
      </c>
      <c r="F44" s="21">
        <v>5</v>
      </c>
      <c r="G44" s="21">
        <v>2</v>
      </c>
      <c r="H44" s="21"/>
      <c r="I44" s="21">
        <v>3</v>
      </c>
      <c r="J44" s="21">
        <v>1</v>
      </c>
      <c r="K44" s="21" t="s">
        <v>17</v>
      </c>
      <c r="L44" s="21">
        <v>4</v>
      </c>
      <c r="M44" s="38" t="s">
        <v>1915</v>
      </c>
      <c r="N44" s="23" t="s">
        <v>1916</v>
      </c>
    </row>
    <row r="45" spans="1:14" x14ac:dyDescent="0.25">
      <c r="A45" s="19" t="s">
        <v>1914</v>
      </c>
      <c r="B45" s="19" t="s">
        <v>1781</v>
      </c>
      <c r="C45" s="19" t="s">
        <v>77</v>
      </c>
      <c r="D45" s="39" t="s">
        <v>15</v>
      </c>
      <c r="E45" s="21">
        <v>5</v>
      </c>
      <c r="F45" s="21">
        <v>6</v>
      </c>
      <c r="G45" s="21">
        <v>3</v>
      </c>
      <c r="H45" s="21"/>
      <c r="I45" s="21">
        <v>3</v>
      </c>
      <c r="J45" s="21">
        <v>1</v>
      </c>
      <c r="K45" s="21" t="s">
        <v>17</v>
      </c>
      <c r="L45" s="21">
        <v>4</v>
      </c>
      <c r="M45" s="38" t="s">
        <v>1915</v>
      </c>
      <c r="N45" s="23" t="s">
        <v>1916</v>
      </c>
    </row>
    <row r="46" spans="1:14" x14ac:dyDescent="0.25">
      <c r="A46" s="19" t="s">
        <v>1914</v>
      </c>
      <c r="B46" s="19" t="s">
        <v>1781</v>
      </c>
      <c r="C46" s="19" t="s">
        <v>77</v>
      </c>
      <c r="D46" s="37" t="s">
        <v>20</v>
      </c>
      <c r="E46" s="21">
        <v>7</v>
      </c>
      <c r="F46" s="21">
        <v>8</v>
      </c>
      <c r="G46" s="21">
        <v>4</v>
      </c>
      <c r="H46" s="21"/>
      <c r="I46" s="21">
        <v>3</v>
      </c>
      <c r="J46" s="21">
        <v>1</v>
      </c>
      <c r="K46" s="21" t="s">
        <v>17</v>
      </c>
      <c r="L46" s="21">
        <v>5</v>
      </c>
      <c r="M46" s="38" t="s">
        <v>1915</v>
      </c>
      <c r="N46" s="23" t="s">
        <v>1916</v>
      </c>
    </row>
    <row r="47" spans="1:14" x14ac:dyDescent="0.25">
      <c r="A47" s="19" t="s">
        <v>1914</v>
      </c>
      <c r="B47" s="19" t="s">
        <v>1781</v>
      </c>
      <c r="C47" s="19" t="s">
        <v>77</v>
      </c>
      <c r="D47" s="37" t="s">
        <v>786</v>
      </c>
      <c r="E47" s="21">
        <v>9</v>
      </c>
      <c r="F47" s="21"/>
      <c r="G47" s="21">
        <v>5</v>
      </c>
      <c r="H47" s="21"/>
      <c r="I47" s="21">
        <v>4</v>
      </c>
      <c r="J47" s="21">
        <v>1</v>
      </c>
      <c r="K47" s="21" t="s">
        <v>17</v>
      </c>
      <c r="L47" s="21">
        <v>5</v>
      </c>
      <c r="M47" s="38" t="s">
        <v>1915</v>
      </c>
      <c r="N47" s="23" t="s">
        <v>1916</v>
      </c>
    </row>
    <row r="48" spans="1:14" x14ac:dyDescent="0.25">
      <c r="A48" s="19" t="s">
        <v>523</v>
      </c>
      <c r="B48" s="19" t="s">
        <v>1920</v>
      </c>
      <c r="C48" s="19" t="s">
        <v>785</v>
      </c>
      <c r="D48" s="37">
        <v>1</v>
      </c>
      <c r="E48" s="21"/>
      <c r="F48" s="21">
        <v>2</v>
      </c>
      <c r="G48" s="21"/>
      <c r="H48" s="21"/>
      <c r="I48" s="21">
        <v>1</v>
      </c>
      <c r="J48" s="21">
        <v>1</v>
      </c>
      <c r="K48" s="21" t="s">
        <v>17</v>
      </c>
      <c r="L48" s="21">
        <v>2</v>
      </c>
      <c r="M48" s="38" t="s">
        <v>1921</v>
      </c>
      <c r="N48" s="23" t="s">
        <v>1922</v>
      </c>
    </row>
    <row r="49" spans="1:14" x14ac:dyDescent="0.25">
      <c r="A49" s="19" t="s">
        <v>523</v>
      </c>
      <c r="B49" s="19" t="s">
        <v>1920</v>
      </c>
      <c r="C49" s="19" t="s">
        <v>785</v>
      </c>
      <c r="D49" s="39" t="s">
        <v>15</v>
      </c>
      <c r="E49" s="21"/>
      <c r="F49" s="21">
        <v>3</v>
      </c>
      <c r="G49" s="21"/>
      <c r="H49" s="21"/>
      <c r="I49" s="21">
        <v>1</v>
      </c>
      <c r="J49" s="21">
        <v>1</v>
      </c>
      <c r="K49" s="21" t="s">
        <v>17</v>
      </c>
      <c r="L49" s="21">
        <v>2</v>
      </c>
      <c r="M49" s="38" t="s">
        <v>1921</v>
      </c>
      <c r="N49" s="23" t="s">
        <v>1922</v>
      </c>
    </row>
    <row r="50" spans="1:14" x14ac:dyDescent="0.25">
      <c r="A50" s="19" t="s">
        <v>523</v>
      </c>
      <c r="B50" s="19" t="s">
        <v>1920</v>
      </c>
      <c r="C50" s="19" t="s">
        <v>785</v>
      </c>
      <c r="D50" s="37" t="s">
        <v>20</v>
      </c>
      <c r="E50" s="21"/>
      <c r="F50" s="21">
        <v>4</v>
      </c>
      <c r="G50" s="21"/>
      <c r="H50" s="21"/>
      <c r="I50" s="21">
        <v>1</v>
      </c>
      <c r="J50" s="21">
        <v>1</v>
      </c>
      <c r="K50" s="21" t="s">
        <v>17</v>
      </c>
      <c r="L50" s="21">
        <v>3</v>
      </c>
      <c r="M50" s="38" t="s">
        <v>1921</v>
      </c>
      <c r="N50" s="23" t="s">
        <v>1922</v>
      </c>
    </row>
    <row r="51" spans="1:14" x14ac:dyDescent="0.25">
      <c r="A51" s="19" t="s">
        <v>523</v>
      </c>
      <c r="B51" s="19" t="s">
        <v>1920</v>
      </c>
      <c r="C51" s="19" t="s">
        <v>785</v>
      </c>
      <c r="D51" s="37" t="s">
        <v>786</v>
      </c>
      <c r="E51" s="21"/>
      <c r="F51" s="21">
        <v>4</v>
      </c>
      <c r="G51" s="21"/>
      <c r="H51" s="21"/>
      <c r="I51" s="21">
        <v>1</v>
      </c>
      <c r="J51" s="21">
        <v>1</v>
      </c>
      <c r="K51" s="21" t="s">
        <v>17</v>
      </c>
      <c r="L51" s="21">
        <v>4</v>
      </c>
      <c r="M51" s="38" t="s">
        <v>1921</v>
      </c>
      <c r="N51" s="23" t="s">
        <v>1922</v>
      </c>
    </row>
    <row r="52" spans="1:14" x14ac:dyDescent="0.25">
      <c r="A52" s="19" t="s">
        <v>523</v>
      </c>
      <c r="B52" s="19" t="s">
        <v>1923</v>
      </c>
      <c r="C52" s="19" t="s">
        <v>785</v>
      </c>
      <c r="D52" s="37">
        <v>1</v>
      </c>
      <c r="E52" s="21"/>
      <c r="F52" s="21">
        <v>2</v>
      </c>
      <c r="G52" s="21"/>
      <c r="H52" s="21"/>
      <c r="I52" s="21">
        <v>1</v>
      </c>
      <c r="J52" s="21">
        <v>1</v>
      </c>
      <c r="K52" s="21" t="s">
        <v>18</v>
      </c>
      <c r="L52" s="21">
        <v>2</v>
      </c>
      <c r="M52" s="38" t="s">
        <v>1924</v>
      </c>
      <c r="N52" s="23" t="s">
        <v>1922</v>
      </c>
    </row>
    <row r="53" spans="1:14" x14ac:dyDescent="0.25">
      <c r="A53" s="19" t="s">
        <v>523</v>
      </c>
      <c r="B53" s="19" t="s">
        <v>1923</v>
      </c>
      <c r="C53" s="19" t="s">
        <v>785</v>
      </c>
      <c r="D53" s="39" t="s">
        <v>15</v>
      </c>
      <c r="E53" s="21"/>
      <c r="F53" s="21">
        <v>3</v>
      </c>
      <c r="G53" s="21"/>
      <c r="H53" s="21"/>
      <c r="I53" s="21">
        <v>1</v>
      </c>
      <c r="J53" s="21">
        <v>1</v>
      </c>
      <c r="K53" s="21" t="s">
        <v>18</v>
      </c>
      <c r="L53" s="21">
        <v>2</v>
      </c>
      <c r="M53" s="38" t="s">
        <v>1924</v>
      </c>
      <c r="N53" s="23" t="s">
        <v>1922</v>
      </c>
    </row>
    <row r="54" spans="1:14" x14ac:dyDescent="0.25">
      <c r="A54" s="19" t="s">
        <v>523</v>
      </c>
      <c r="B54" s="19" t="s">
        <v>1923</v>
      </c>
      <c r="C54" s="19" t="s">
        <v>785</v>
      </c>
      <c r="D54" s="37" t="s">
        <v>20</v>
      </c>
      <c r="E54" s="21"/>
      <c r="F54" s="21">
        <v>4</v>
      </c>
      <c r="G54" s="21"/>
      <c r="H54" s="21"/>
      <c r="I54" s="21">
        <v>1</v>
      </c>
      <c r="J54" s="21">
        <v>1</v>
      </c>
      <c r="K54" s="21" t="s">
        <v>18</v>
      </c>
      <c r="L54" s="21">
        <v>3</v>
      </c>
      <c r="M54" s="38" t="s">
        <v>1924</v>
      </c>
      <c r="N54" s="23" t="s">
        <v>1922</v>
      </c>
    </row>
    <row r="55" spans="1:14" x14ac:dyDescent="0.25">
      <c r="A55" s="19" t="s">
        <v>523</v>
      </c>
      <c r="B55" s="19" t="s">
        <v>1923</v>
      </c>
      <c r="C55" s="19" t="s">
        <v>785</v>
      </c>
      <c r="D55" s="37" t="s">
        <v>786</v>
      </c>
      <c r="E55" s="21"/>
      <c r="F55" s="21">
        <v>4</v>
      </c>
      <c r="G55" s="21"/>
      <c r="H55" s="21"/>
      <c r="I55" s="21">
        <v>1</v>
      </c>
      <c r="J55" s="21">
        <v>1</v>
      </c>
      <c r="K55" s="21" t="s">
        <v>18</v>
      </c>
      <c r="L55" s="21">
        <v>4</v>
      </c>
      <c r="M55" s="38" t="s">
        <v>1924</v>
      </c>
      <c r="N55" s="23" t="s">
        <v>1922</v>
      </c>
    </row>
    <row r="56" spans="1:14" x14ac:dyDescent="0.25">
      <c r="A56" s="19" t="s">
        <v>523</v>
      </c>
      <c r="B56" s="19" t="s">
        <v>1925</v>
      </c>
      <c r="C56" s="19" t="s">
        <v>785</v>
      </c>
      <c r="D56" s="37">
        <v>1</v>
      </c>
      <c r="E56" s="21">
        <v>2</v>
      </c>
      <c r="F56" s="21">
        <v>5</v>
      </c>
      <c r="G56" s="21">
        <v>1</v>
      </c>
      <c r="H56" s="21"/>
      <c r="I56" s="21">
        <v>1</v>
      </c>
      <c r="J56" s="21">
        <v>1</v>
      </c>
      <c r="K56" s="21" t="s">
        <v>18</v>
      </c>
      <c r="L56" s="21">
        <v>3</v>
      </c>
      <c r="M56" s="38" t="s">
        <v>1926</v>
      </c>
      <c r="N56" s="23"/>
    </row>
    <row r="57" spans="1:14" x14ac:dyDescent="0.25">
      <c r="A57" s="19" t="s">
        <v>523</v>
      </c>
      <c r="B57" s="19" t="s">
        <v>1925</v>
      </c>
      <c r="C57" s="19" t="s">
        <v>785</v>
      </c>
      <c r="D57" s="39" t="s">
        <v>15</v>
      </c>
      <c r="E57" s="21">
        <v>3</v>
      </c>
      <c r="F57" s="21">
        <v>5</v>
      </c>
      <c r="G57" s="21">
        <v>1</v>
      </c>
      <c r="H57" s="21"/>
      <c r="I57" s="21">
        <v>1</v>
      </c>
      <c r="J57" s="21">
        <v>1</v>
      </c>
      <c r="K57" s="21" t="s">
        <v>18</v>
      </c>
      <c r="L57" s="21">
        <v>3</v>
      </c>
      <c r="M57" s="38" t="s">
        <v>1926</v>
      </c>
      <c r="N57" s="23"/>
    </row>
    <row r="58" spans="1:14" x14ac:dyDescent="0.25">
      <c r="A58" s="19" t="s">
        <v>523</v>
      </c>
      <c r="B58" s="19" t="s">
        <v>1925</v>
      </c>
      <c r="C58" s="19" t="s">
        <v>785</v>
      </c>
      <c r="D58" s="37" t="s">
        <v>20</v>
      </c>
      <c r="E58" s="21">
        <v>4</v>
      </c>
      <c r="F58" s="21">
        <v>5</v>
      </c>
      <c r="G58" s="21">
        <v>2</v>
      </c>
      <c r="H58" s="21"/>
      <c r="I58" s="21">
        <v>1</v>
      </c>
      <c r="J58" s="21">
        <v>1</v>
      </c>
      <c r="K58" s="21" t="s">
        <v>18</v>
      </c>
      <c r="L58" s="21">
        <v>4</v>
      </c>
      <c r="M58" s="38" t="s">
        <v>1926</v>
      </c>
      <c r="N58" s="23"/>
    </row>
    <row r="59" spans="1:14" x14ac:dyDescent="0.25">
      <c r="A59" s="19" t="s">
        <v>523</v>
      </c>
      <c r="B59" s="19" t="s">
        <v>1925</v>
      </c>
      <c r="C59" s="19" t="s">
        <v>785</v>
      </c>
      <c r="D59" s="37" t="s">
        <v>786</v>
      </c>
      <c r="E59" s="21">
        <v>5</v>
      </c>
      <c r="F59" s="21">
        <v>5</v>
      </c>
      <c r="G59" s="21">
        <v>2</v>
      </c>
      <c r="H59" s="21"/>
      <c r="I59" s="21">
        <v>1</v>
      </c>
      <c r="J59" s="21">
        <v>1</v>
      </c>
      <c r="K59" s="21" t="s">
        <v>18</v>
      </c>
      <c r="L59" s="21">
        <v>4</v>
      </c>
      <c r="M59" s="38" t="s">
        <v>1926</v>
      </c>
      <c r="N59" s="23"/>
    </row>
    <row r="60" spans="1:14" x14ac:dyDescent="0.25">
      <c r="A60" s="19" t="s">
        <v>523</v>
      </c>
      <c r="B60" s="19" t="s">
        <v>1927</v>
      </c>
      <c r="C60" s="19" t="s">
        <v>930</v>
      </c>
      <c r="D60" s="37">
        <v>1</v>
      </c>
      <c r="E60" s="21">
        <v>4</v>
      </c>
      <c r="F60" s="21">
        <v>3</v>
      </c>
      <c r="G60" s="21"/>
      <c r="H60" s="21"/>
      <c r="I60" s="21">
        <v>2</v>
      </c>
      <c r="J60" s="21">
        <v>3</v>
      </c>
      <c r="K60" s="21" t="s">
        <v>18</v>
      </c>
      <c r="L60" s="21">
        <v>3</v>
      </c>
      <c r="M60" s="38" t="s">
        <v>1928</v>
      </c>
      <c r="N60" s="23" t="s">
        <v>1929</v>
      </c>
    </row>
    <row r="61" spans="1:14" x14ac:dyDescent="0.25">
      <c r="A61" s="19" t="s">
        <v>523</v>
      </c>
      <c r="B61" s="19" t="s">
        <v>1927</v>
      </c>
      <c r="C61" s="19" t="s">
        <v>930</v>
      </c>
      <c r="D61" s="39" t="s">
        <v>15</v>
      </c>
      <c r="E61" s="21">
        <v>5</v>
      </c>
      <c r="F61" s="21">
        <v>4</v>
      </c>
      <c r="G61" s="21"/>
      <c r="H61" s="21"/>
      <c r="I61" s="21">
        <v>2</v>
      </c>
      <c r="J61" s="21">
        <v>3</v>
      </c>
      <c r="K61" s="21" t="s">
        <v>18</v>
      </c>
      <c r="L61" s="21">
        <v>3</v>
      </c>
      <c r="M61" s="38" t="s">
        <v>1928</v>
      </c>
      <c r="N61" s="23" t="s">
        <v>1929</v>
      </c>
    </row>
    <row r="62" spans="1:14" x14ac:dyDescent="0.25">
      <c r="A62" s="19" t="s">
        <v>523</v>
      </c>
      <c r="B62" s="19" t="s">
        <v>1927</v>
      </c>
      <c r="C62" s="19" t="s">
        <v>930</v>
      </c>
      <c r="D62" s="37" t="s">
        <v>20</v>
      </c>
      <c r="E62" s="21">
        <v>6</v>
      </c>
      <c r="F62" s="21">
        <v>5</v>
      </c>
      <c r="G62" s="21"/>
      <c r="H62" s="21"/>
      <c r="I62" s="21">
        <v>2</v>
      </c>
      <c r="J62" s="21">
        <v>3</v>
      </c>
      <c r="K62" s="21" t="s">
        <v>18</v>
      </c>
      <c r="L62" s="21">
        <v>4</v>
      </c>
      <c r="M62" s="38" t="s">
        <v>1928</v>
      </c>
      <c r="N62" s="23" t="s">
        <v>1929</v>
      </c>
    </row>
    <row r="63" spans="1:14" x14ac:dyDescent="0.25">
      <c r="A63" s="19" t="s">
        <v>523</v>
      </c>
      <c r="B63" s="19" t="s">
        <v>1927</v>
      </c>
      <c r="C63" s="19" t="s">
        <v>930</v>
      </c>
      <c r="D63" s="37" t="s">
        <v>786</v>
      </c>
      <c r="E63" s="21">
        <v>8</v>
      </c>
      <c r="F63" s="21">
        <v>6</v>
      </c>
      <c r="G63" s="21"/>
      <c r="H63" s="21"/>
      <c r="I63" s="21">
        <v>2</v>
      </c>
      <c r="J63" s="21">
        <v>3</v>
      </c>
      <c r="K63" s="21" t="s">
        <v>18</v>
      </c>
      <c r="L63" s="21">
        <v>4</v>
      </c>
      <c r="M63" s="38" t="s">
        <v>1928</v>
      </c>
      <c r="N63" s="23" t="s">
        <v>1929</v>
      </c>
    </row>
    <row r="64" spans="1:14" ht="30" x14ac:dyDescent="0.25">
      <c r="A64" s="19" t="s">
        <v>523</v>
      </c>
      <c r="B64" s="19" t="s">
        <v>1930</v>
      </c>
      <c r="C64" s="19" t="s">
        <v>930</v>
      </c>
      <c r="D64" s="37">
        <v>1</v>
      </c>
      <c r="E64" s="21">
        <v>3</v>
      </c>
      <c r="F64" s="21">
        <v>4</v>
      </c>
      <c r="G64" s="21"/>
      <c r="H64" s="21"/>
      <c r="I64" s="21">
        <v>2</v>
      </c>
      <c r="J64" s="21">
        <v>2</v>
      </c>
      <c r="K64" s="21" t="s">
        <v>17</v>
      </c>
      <c r="L64" s="21">
        <v>3</v>
      </c>
      <c r="M64" s="38" t="s">
        <v>1931</v>
      </c>
      <c r="N64" s="23" t="s">
        <v>1932</v>
      </c>
    </row>
    <row r="65" spans="1:14" ht="30" x14ac:dyDescent="0.25">
      <c r="A65" s="19" t="s">
        <v>523</v>
      </c>
      <c r="B65" s="19" t="s">
        <v>1930</v>
      </c>
      <c r="C65" s="19" t="s">
        <v>930</v>
      </c>
      <c r="D65" s="39" t="s">
        <v>15</v>
      </c>
      <c r="E65" s="21">
        <v>4</v>
      </c>
      <c r="F65" s="21">
        <v>5</v>
      </c>
      <c r="G65" s="21"/>
      <c r="H65" s="21"/>
      <c r="I65" s="21">
        <v>2</v>
      </c>
      <c r="J65" s="21">
        <v>2</v>
      </c>
      <c r="K65" s="21" t="s">
        <v>17</v>
      </c>
      <c r="L65" s="21">
        <v>3</v>
      </c>
      <c r="M65" s="38" t="s">
        <v>1931</v>
      </c>
      <c r="N65" s="23" t="s">
        <v>1932</v>
      </c>
    </row>
    <row r="66" spans="1:14" ht="30" x14ac:dyDescent="0.25">
      <c r="A66" s="19" t="s">
        <v>523</v>
      </c>
      <c r="B66" s="19" t="s">
        <v>1930</v>
      </c>
      <c r="C66" s="19" t="s">
        <v>930</v>
      </c>
      <c r="D66" s="37" t="s">
        <v>20</v>
      </c>
      <c r="E66" s="21">
        <v>5</v>
      </c>
      <c r="F66" s="21">
        <v>6</v>
      </c>
      <c r="G66" s="21"/>
      <c r="H66" s="21"/>
      <c r="I66" s="21">
        <v>2</v>
      </c>
      <c r="J66" s="21">
        <v>2</v>
      </c>
      <c r="K66" s="21" t="s">
        <v>17</v>
      </c>
      <c r="L66" s="21">
        <v>4</v>
      </c>
      <c r="M66" s="38" t="s">
        <v>1931</v>
      </c>
      <c r="N66" s="23" t="s">
        <v>1932</v>
      </c>
    </row>
    <row r="67" spans="1:14" ht="30" x14ac:dyDescent="0.25">
      <c r="A67" s="19" t="s">
        <v>523</v>
      </c>
      <c r="B67" s="19" t="s">
        <v>1930</v>
      </c>
      <c r="C67" s="19" t="s">
        <v>930</v>
      </c>
      <c r="D67" s="37" t="s">
        <v>786</v>
      </c>
      <c r="E67" s="21">
        <v>6</v>
      </c>
      <c r="F67" s="21">
        <v>7</v>
      </c>
      <c r="G67" s="21"/>
      <c r="H67" s="21"/>
      <c r="I67" s="21">
        <v>2</v>
      </c>
      <c r="J67" s="21">
        <v>2</v>
      </c>
      <c r="K67" s="21" t="s">
        <v>17</v>
      </c>
      <c r="L67" s="21">
        <v>4</v>
      </c>
      <c r="M67" s="38" t="s">
        <v>1931</v>
      </c>
      <c r="N67" s="23" t="s">
        <v>1932</v>
      </c>
    </row>
    <row r="68" spans="1:14" x14ac:dyDescent="0.25">
      <c r="A68" s="19" t="s">
        <v>523</v>
      </c>
      <c r="B68" s="19" t="s">
        <v>1933</v>
      </c>
      <c r="C68" s="19" t="s">
        <v>937</v>
      </c>
      <c r="D68" s="37">
        <v>1</v>
      </c>
      <c r="E68" s="21">
        <v>4</v>
      </c>
      <c r="F68" s="21">
        <v>5</v>
      </c>
      <c r="G68" s="21">
        <v>1</v>
      </c>
      <c r="H68" s="21"/>
      <c r="I68" s="21">
        <v>3</v>
      </c>
      <c r="J68" s="21">
        <v>2</v>
      </c>
      <c r="K68" s="21" t="s">
        <v>18</v>
      </c>
      <c r="L68" s="21">
        <v>2</v>
      </c>
      <c r="M68" s="38" t="s">
        <v>1934</v>
      </c>
      <c r="N68" s="23" t="s">
        <v>1935</v>
      </c>
    </row>
    <row r="69" spans="1:14" x14ac:dyDescent="0.25">
      <c r="A69" s="19" t="s">
        <v>523</v>
      </c>
      <c r="B69" s="19" t="s">
        <v>1933</v>
      </c>
      <c r="C69" s="19" t="s">
        <v>937</v>
      </c>
      <c r="D69" s="39" t="s">
        <v>15</v>
      </c>
      <c r="E69" s="21">
        <v>5</v>
      </c>
      <c r="F69" s="21">
        <v>6</v>
      </c>
      <c r="G69" s="21">
        <v>1</v>
      </c>
      <c r="H69" s="21"/>
      <c r="I69" s="21">
        <v>3</v>
      </c>
      <c r="J69" s="21">
        <v>2</v>
      </c>
      <c r="K69" s="21" t="s">
        <v>18</v>
      </c>
      <c r="L69" s="21">
        <v>3</v>
      </c>
      <c r="M69" s="38" t="s">
        <v>1934</v>
      </c>
      <c r="N69" s="23" t="s">
        <v>1935</v>
      </c>
    </row>
    <row r="70" spans="1:14" x14ac:dyDescent="0.25">
      <c r="A70" s="19" t="s">
        <v>523</v>
      </c>
      <c r="B70" s="19" t="s">
        <v>1933</v>
      </c>
      <c r="C70" s="19" t="s">
        <v>937</v>
      </c>
      <c r="D70" s="37" t="s">
        <v>20</v>
      </c>
      <c r="E70" s="21">
        <v>6</v>
      </c>
      <c r="F70" s="21">
        <v>7</v>
      </c>
      <c r="G70" s="21">
        <v>2</v>
      </c>
      <c r="H70" s="21"/>
      <c r="I70" s="21">
        <v>3</v>
      </c>
      <c r="J70" s="21">
        <v>2</v>
      </c>
      <c r="K70" s="21" t="s">
        <v>18</v>
      </c>
      <c r="L70" s="21">
        <v>3</v>
      </c>
      <c r="M70" s="38" t="s">
        <v>1934</v>
      </c>
      <c r="N70" s="23" t="s">
        <v>1935</v>
      </c>
    </row>
    <row r="71" spans="1:14" x14ac:dyDescent="0.25">
      <c r="A71" s="19" t="s">
        <v>523</v>
      </c>
      <c r="B71" s="19" t="s">
        <v>1933</v>
      </c>
      <c r="C71" s="19" t="s">
        <v>937</v>
      </c>
      <c r="D71" s="37" t="s">
        <v>786</v>
      </c>
      <c r="E71" s="21">
        <v>8</v>
      </c>
      <c r="F71" s="21">
        <v>8</v>
      </c>
      <c r="G71" s="21">
        <v>2</v>
      </c>
      <c r="H71" s="21"/>
      <c r="I71" s="21">
        <v>3</v>
      </c>
      <c r="J71" s="21">
        <v>2</v>
      </c>
      <c r="K71" s="21" t="s">
        <v>18</v>
      </c>
      <c r="L71" s="21">
        <v>4</v>
      </c>
      <c r="M71" s="38" t="s">
        <v>1934</v>
      </c>
      <c r="N71" s="23" t="s">
        <v>1935</v>
      </c>
    </row>
    <row r="72" spans="1:14" ht="30" x14ac:dyDescent="0.25">
      <c r="A72" s="19" t="s">
        <v>523</v>
      </c>
      <c r="B72" s="19" t="s">
        <v>1936</v>
      </c>
      <c r="C72" s="19" t="s">
        <v>937</v>
      </c>
      <c r="D72" s="37">
        <v>1</v>
      </c>
      <c r="E72" s="21">
        <v>3</v>
      </c>
      <c r="F72" s="21">
        <v>5</v>
      </c>
      <c r="G72" s="21">
        <v>2</v>
      </c>
      <c r="H72" s="21"/>
      <c r="I72" s="21">
        <v>3</v>
      </c>
      <c r="J72" s="21">
        <v>2</v>
      </c>
      <c r="K72" s="21" t="s">
        <v>17</v>
      </c>
      <c r="L72" s="21">
        <v>3</v>
      </c>
      <c r="M72" s="38" t="s">
        <v>1937</v>
      </c>
      <c r="N72" s="23" t="s">
        <v>1938</v>
      </c>
    </row>
    <row r="73" spans="1:14" ht="30" x14ac:dyDescent="0.25">
      <c r="A73" s="19" t="s">
        <v>523</v>
      </c>
      <c r="B73" s="19" t="s">
        <v>1936</v>
      </c>
      <c r="C73" s="19" t="s">
        <v>937</v>
      </c>
      <c r="D73" s="39" t="s">
        <v>15</v>
      </c>
      <c r="E73" s="21">
        <v>4</v>
      </c>
      <c r="F73" s="21">
        <v>6</v>
      </c>
      <c r="G73" s="21">
        <v>2</v>
      </c>
      <c r="H73" s="21"/>
      <c r="I73" s="21">
        <v>3</v>
      </c>
      <c r="J73" s="21">
        <v>2</v>
      </c>
      <c r="K73" s="21" t="s">
        <v>17</v>
      </c>
      <c r="L73" s="21">
        <v>4</v>
      </c>
      <c r="M73" s="38" t="s">
        <v>1937</v>
      </c>
      <c r="N73" s="23" t="s">
        <v>1938</v>
      </c>
    </row>
    <row r="74" spans="1:14" ht="30" x14ac:dyDescent="0.25">
      <c r="A74" s="19" t="s">
        <v>523</v>
      </c>
      <c r="B74" s="19" t="s">
        <v>1936</v>
      </c>
      <c r="C74" s="19" t="s">
        <v>937</v>
      </c>
      <c r="D74" s="37" t="s">
        <v>20</v>
      </c>
      <c r="E74" s="21">
        <v>5</v>
      </c>
      <c r="F74" s="21">
        <v>7</v>
      </c>
      <c r="G74" s="21">
        <v>3</v>
      </c>
      <c r="H74" s="21"/>
      <c r="I74" s="21">
        <v>3</v>
      </c>
      <c r="J74" s="21">
        <v>2</v>
      </c>
      <c r="K74" s="21" t="s">
        <v>17</v>
      </c>
      <c r="L74" s="21">
        <v>4</v>
      </c>
      <c r="M74" s="38" t="s">
        <v>1937</v>
      </c>
      <c r="N74" s="23" t="s">
        <v>1938</v>
      </c>
    </row>
    <row r="75" spans="1:14" ht="30" x14ac:dyDescent="0.25">
      <c r="A75" s="19" t="s">
        <v>523</v>
      </c>
      <c r="B75" s="19" t="s">
        <v>1936</v>
      </c>
      <c r="C75" s="19" t="s">
        <v>937</v>
      </c>
      <c r="D75" s="37" t="s">
        <v>786</v>
      </c>
      <c r="E75" s="21">
        <v>7</v>
      </c>
      <c r="F75" s="21">
        <v>8</v>
      </c>
      <c r="G75" s="21">
        <v>3</v>
      </c>
      <c r="H75" s="21"/>
      <c r="I75" s="21">
        <v>3</v>
      </c>
      <c r="J75" s="21">
        <v>2</v>
      </c>
      <c r="K75" s="21" t="s">
        <v>17</v>
      </c>
      <c r="L75" s="21">
        <v>5</v>
      </c>
      <c r="M75" s="38" t="s">
        <v>1937</v>
      </c>
      <c r="N75" s="23" t="s">
        <v>1938</v>
      </c>
    </row>
    <row r="76" spans="1:14" ht="30" x14ac:dyDescent="0.25">
      <c r="A76" s="19" t="s">
        <v>523</v>
      </c>
      <c r="B76" s="19" t="s">
        <v>1939</v>
      </c>
      <c r="C76" s="19" t="s">
        <v>77</v>
      </c>
      <c r="D76" s="37">
        <v>1</v>
      </c>
      <c r="E76" s="21">
        <v>4</v>
      </c>
      <c r="F76" s="21">
        <v>5</v>
      </c>
      <c r="G76" s="21">
        <v>1</v>
      </c>
      <c r="H76" s="21"/>
      <c r="I76" s="21">
        <v>3</v>
      </c>
      <c r="J76" s="21">
        <v>2</v>
      </c>
      <c r="K76" s="21" t="s">
        <v>18</v>
      </c>
      <c r="L76" s="21">
        <v>3</v>
      </c>
      <c r="M76" s="38" t="s">
        <v>1940</v>
      </c>
      <c r="N76" s="23" t="s">
        <v>1941</v>
      </c>
    </row>
    <row r="77" spans="1:14" ht="30" x14ac:dyDescent="0.25">
      <c r="A77" s="19" t="s">
        <v>523</v>
      </c>
      <c r="B77" s="19" t="s">
        <v>1939</v>
      </c>
      <c r="C77" s="19" t="s">
        <v>77</v>
      </c>
      <c r="D77" s="39" t="s">
        <v>15</v>
      </c>
      <c r="E77" s="21">
        <v>5</v>
      </c>
      <c r="F77" s="21">
        <v>6</v>
      </c>
      <c r="G77" s="21">
        <v>2</v>
      </c>
      <c r="H77" s="21"/>
      <c r="I77" s="21">
        <v>3</v>
      </c>
      <c r="J77" s="21">
        <v>2</v>
      </c>
      <c r="K77" s="21" t="s">
        <v>18</v>
      </c>
      <c r="L77" s="21">
        <v>4</v>
      </c>
      <c r="M77" s="38" t="s">
        <v>1940</v>
      </c>
      <c r="N77" s="23" t="s">
        <v>1941</v>
      </c>
    </row>
    <row r="78" spans="1:14" ht="30" x14ac:dyDescent="0.25">
      <c r="A78" s="19" t="s">
        <v>523</v>
      </c>
      <c r="B78" s="19" t="s">
        <v>1939</v>
      </c>
      <c r="C78" s="19" t="s">
        <v>77</v>
      </c>
      <c r="D78" s="37" t="s">
        <v>20</v>
      </c>
      <c r="E78" s="21">
        <v>7</v>
      </c>
      <c r="F78" s="21">
        <v>8</v>
      </c>
      <c r="G78" s="21">
        <v>3</v>
      </c>
      <c r="H78" s="21"/>
      <c r="I78" s="21">
        <v>3</v>
      </c>
      <c r="J78" s="21">
        <v>2</v>
      </c>
      <c r="K78" s="21" t="s">
        <v>18</v>
      </c>
      <c r="L78" s="21">
        <v>4</v>
      </c>
      <c r="M78" s="38" t="s">
        <v>1940</v>
      </c>
      <c r="N78" s="23" t="s">
        <v>1941</v>
      </c>
    </row>
    <row r="79" spans="1:14" ht="30" x14ac:dyDescent="0.25">
      <c r="A79" s="19" t="s">
        <v>523</v>
      </c>
      <c r="B79" s="19" t="s">
        <v>1939</v>
      </c>
      <c r="C79" s="19" t="s">
        <v>77</v>
      </c>
      <c r="D79" s="37" t="s">
        <v>786</v>
      </c>
      <c r="E79" s="21">
        <v>9</v>
      </c>
      <c r="F79" s="21">
        <v>9</v>
      </c>
      <c r="G79" s="21">
        <v>4</v>
      </c>
      <c r="H79" s="21"/>
      <c r="I79" s="21">
        <v>3</v>
      </c>
      <c r="J79" s="21">
        <v>2</v>
      </c>
      <c r="K79" s="21" t="s">
        <v>18</v>
      </c>
      <c r="L79" s="21">
        <v>5</v>
      </c>
      <c r="M79" s="38" t="s">
        <v>1940</v>
      </c>
      <c r="N79" s="23" t="s">
        <v>1941</v>
      </c>
    </row>
    <row r="80" spans="1:14" ht="30" x14ac:dyDescent="0.25">
      <c r="A80" s="19" t="s">
        <v>523</v>
      </c>
      <c r="B80" s="19" t="s">
        <v>1942</v>
      </c>
      <c r="C80" s="19" t="s">
        <v>77</v>
      </c>
      <c r="D80" s="37">
        <v>1</v>
      </c>
      <c r="E80" s="21">
        <v>3</v>
      </c>
      <c r="F80" s="21">
        <v>4</v>
      </c>
      <c r="G80" s="21"/>
      <c r="H80" s="21"/>
      <c r="I80" s="21">
        <v>3</v>
      </c>
      <c r="J80" s="21">
        <v>2</v>
      </c>
      <c r="K80" s="21" t="s">
        <v>18</v>
      </c>
      <c r="L80" s="21">
        <v>4</v>
      </c>
      <c r="M80" s="38" t="s">
        <v>1943</v>
      </c>
      <c r="N80" s="23" t="s">
        <v>1944</v>
      </c>
    </row>
    <row r="81" spans="1:14" ht="30" x14ac:dyDescent="0.25">
      <c r="A81" s="19" t="s">
        <v>523</v>
      </c>
      <c r="B81" s="19" t="s">
        <v>1942</v>
      </c>
      <c r="C81" s="19" t="s">
        <v>77</v>
      </c>
      <c r="D81" s="39" t="s">
        <v>15</v>
      </c>
      <c r="E81" s="21">
        <v>4</v>
      </c>
      <c r="F81" s="21">
        <v>5</v>
      </c>
      <c r="G81" s="21"/>
      <c r="H81" s="21"/>
      <c r="I81" s="21">
        <v>3</v>
      </c>
      <c r="J81" s="21">
        <v>2</v>
      </c>
      <c r="K81" s="21" t="s">
        <v>18</v>
      </c>
      <c r="L81" s="21">
        <v>4</v>
      </c>
      <c r="M81" s="38" t="s">
        <v>1943</v>
      </c>
      <c r="N81" s="23" t="s">
        <v>1944</v>
      </c>
    </row>
    <row r="82" spans="1:14" ht="30" x14ac:dyDescent="0.25">
      <c r="A82" s="19" t="s">
        <v>523</v>
      </c>
      <c r="B82" s="19" t="s">
        <v>1942</v>
      </c>
      <c r="C82" s="19" t="s">
        <v>77</v>
      </c>
      <c r="D82" s="37" t="s">
        <v>20</v>
      </c>
      <c r="E82" s="21">
        <v>5</v>
      </c>
      <c r="F82" s="21">
        <v>6</v>
      </c>
      <c r="G82" s="21"/>
      <c r="H82" s="21"/>
      <c r="I82" s="21">
        <v>3</v>
      </c>
      <c r="J82" s="21">
        <v>2</v>
      </c>
      <c r="K82" s="21" t="s">
        <v>18</v>
      </c>
      <c r="L82" s="21">
        <v>5</v>
      </c>
      <c r="M82" s="38" t="s">
        <v>1943</v>
      </c>
      <c r="N82" s="23" t="s">
        <v>1944</v>
      </c>
    </row>
    <row r="83" spans="1:14" ht="30" x14ac:dyDescent="0.25">
      <c r="A83" s="19" t="s">
        <v>523</v>
      </c>
      <c r="B83" s="19" t="s">
        <v>1942</v>
      </c>
      <c r="C83" s="19" t="s">
        <v>77</v>
      </c>
      <c r="D83" s="37" t="s">
        <v>786</v>
      </c>
      <c r="E83" s="21">
        <v>7</v>
      </c>
      <c r="F83" s="21"/>
      <c r="G83" s="21"/>
      <c r="H83" s="21"/>
      <c r="I83" s="21">
        <v>4</v>
      </c>
      <c r="J83" s="21">
        <v>2</v>
      </c>
      <c r="K83" s="21" t="s">
        <v>18</v>
      </c>
      <c r="L83" s="21">
        <v>6</v>
      </c>
      <c r="M83" s="38" t="s">
        <v>1943</v>
      </c>
      <c r="N83" s="23" t="s">
        <v>1944</v>
      </c>
    </row>
    <row r="84" spans="1:14" x14ac:dyDescent="0.25">
      <c r="A84" s="19" t="s">
        <v>521</v>
      </c>
      <c r="B84" s="19" t="s">
        <v>926</v>
      </c>
      <c r="C84" s="19" t="s">
        <v>785</v>
      </c>
      <c r="D84" s="37">
        <v>1</v>
      </c>
      <c r="E84" s="21">
        <v>2</v>
      </c>
      <c r="F84" s="21">
        <v>4</v>
      </c>
      <c r="G84" s="21"/>
      <c r="H84" s="21"/>
      <c r="I84" s="21">
        <v>1</v>
      </c>
      <c r="J84" s="21">
        <v>2</v>
      </c>
      <c r="K84" s="21" t="s">
        <v>18</v>
      </c>
      <c r="L84" s="21">
        <v>3</v>
      </c>
      <c r="M84" s="38" t="s">
        <v>927</v>
      </c>
      <c r="N84" s="23" t="s">
        <v>928</v>
      </c>
    </row>
    <row r="85" spans="1:14" x14ac:dyDescent="0.25">
      <c r="A85" s="19" t="s">
        <v>521</v>
      </c>
      <c r="B85" s="19" t="s">
        <v>926</v>
      </c>
      <c r="C85" s="19" t="s">
        <v>785</v>
      </c>
      <c r="D85" s="39" t="s">
        <v>15</v>
      </c>
      <c r="E85" s="21">
        <v>3</v>
      </c>
      <c r="F85" s="21">
        <v>5</v>
      </c>
      <c r="G85" s="21"/>
      <c r="H85" s="21"/>
      <c r="I85" s="21">
        <v>1</v>
      </c>
      <c r="J85" s="21">
        <v>2</v>
      </c>
      <c r="K85" s="21" t="s">
        <v>18</v>
      </c>
      <c r="L85" s="21">
        <v>3</v>
      </c>
      <c r="M85" s="38" t="s">
        <v>927</v>
      </c>
      <c r="N85" s="23" t="s">
        <v>928</v>
      </c>
    </row>
    <row r="86" spans="1:14" x14ac:dyDescent="0.25">
      <c r="A86" s="19" t="s">
        <v>521</v>
      </c>
      <c r="B86" s="19" t="s">
        <v>926</v>
      </c>
      <c r="C86" s="19" t="s">
        <v>785</v>
      </c>
      <c r="D86" s="37" t="s">
        <v>20</v>
      </c>
      <c r="E86" s="21">
        <v>4</v>
      </c>
      <c r="F86" s="21">
        <v>6</v>
      </c>
      <c r="G86" s="21"/>
      <c r="H86" s="21"/>
      <c r="I86" s="21">
        <v>1</v>
      </c>
      <c r="J86" s="21">
        <v>2</v>
      </c>
      <c r="K86" s="21" t="s">
        <v>18</v>
      </c>
      <c r="L86" s="21">
        <v>4</v>
      </c>
      <c r="M86" s="38" t="s">
        <v>927</v>
      </c>
      <c r="N86" s="23" t="s">
        <v>928</v>
      </c>
    </row>
    <row r="87" spans="1:14" x14ac:dyDescent="0.25">
      <c r="A87" s="19" t="s">
        <v>521</v>
      </c>
      <c r="B87" s="19" t="s">
        <v>926</v>
      </c>
      <c r="C87" s="19" t="s">
        <v>785</v>
      </c>
      <c r="D87" s="37" t="s">
        <v>786</v>
      </c>
      <c r="E87" s="21">
        <v>5</v>
      </c>
      <c r="F87" s="21">
        <v>7</v>
      </c>
      <c r="G87" s="21"/>
      <c r="H87" s="21"/>
      <c r="I87" s="21">
        <v>1</v>
      </c>
      <c r="J87" s="21">
        <v>2</v>
      </c>
      <c r="K87" s="21" t="s">
        <v>18</v>
      </c>
      <c r="L87" s="21">
        <v>4</v>
      </c>
      <c r="M87" s="38" t="s">
        <v>927</v>
      </c>
      <c r="N87" s="23" t="s">
        <v>928</v>
      </c>
    </row>
    <row r="88" spans="1:14" x14ac:dyDescent="0.25">
      <c r="A88" s="19" t="s">
        <v>521</v>
      </c>
      <c r="B88" s="19" t="s">
        <v>961</v>
      </c>
      <c r="C88" s="19" t="s">
        <v>785</v>
      </c>
      <c r="D88" s="37">
        <v>1</v>
      </c>
      <c r="E88" s="21">
        <v>1</v>
      </c>
      <c r="F88" s="21">
        <v>2</v>
      </c>
      <c r="G88" s="21" t="s">
        <v>52</v>
      </c>
      <c r="H88" s="21"/>
      <c r="I88" s="21">
        <v>1</v>
      </c>
      <c r="J88" s="21">
        <v>3</v>
      </c>
      <c r="K88" s="21" t="s">
        <v>17</v>
      </c>
      <c r="L88" s="21">
        <v>2</v>
      </c>
      <c r="M88" s="38" t="s">
        <v>962</v>
      </c>
      <c r="N88" s="23" t="s">
        <v>963</v>
      </c>
    </row>
    <row r="89" spans="1:14" x14ac:dyDescent="0.25">
      <c r="A89" s="19" t="s">
        <v>521</v>
      </c>
      <c r="B89" s="19" t="s">
        <v>961</v>
      </c>
      <c r="C89" s="19" t="s">
        <v>785</v>
      </c>
      <c r="D89" s="39" t="s">
        <v>15</v>
      </c>
      <c r="E89" s="21">
        <v>2</v>
      </c>
      <c r="F89" s="21">
        <v>3</v>
      </c>
      <c r="G89" s="21" t="s">
        <v>52</v>
      </c>
      <c r="H89" s="21"/>
      <c r="I89" s="21">
        <v>1</v>
      </c>
      <c r="J89" s="21">
        <v>3</v>
      </c>
      <c r="K89" s="21" t="s">
        <v>17</v>
      </c>
      <c r="L89" s="21">
        <v>3</v>
      </c>
      <c r="M89" s="38" t="s">
        <v>962</v>
      </c>
      <c r="N89" s="23" t="s">
        <v>963</v>
      </c>
    </row>
    <row r="90" spans="1:14" x14ac:dyDescent="0.25">
      <c r="A90" s="19" t="s">
        <v>521</v>
      </c>
      <c r="B90" s="19" t="s">
        <v>961</v>
      </c>
      <c r="C90" s="19" t="s">
        <v>785</v>
      </c>
      <c r="D90" s="37" t="s">
        <v>20</v>
      </c>
      <c r="E90" s="21">
        <v>3</v>
      </c>
      <c r="F90" s="21">
        <v>4</v>
      </c>
      <c r="G90" s="21" t="s">
        <v>52</v>
      </c>
      <c r="H90" s="21"/>
      <c r="I90" s="21">
        <v>1</v>
      </c>
      <c r="J90" s="21">
        <v>3</v>
      </c>
      <c r="K90" s="21" t="s">
        <v>17</v>
      </c>
      <c r="L90" s="21">
        <v>3</v>
      </c>
      <c r="M90" s="38" t="s">
        <v>962</v>
      </c>
      <c r="N90" s="23" t="s">
        <v>963</v>
      </c>
    </row>
    <row r="91" spans="1:14" x14ac:dyDescent="0.25">
      <c r="A91" s="19" t="s">
        <v>521</v>
      </c>
      <c r="B91" s="19" t="s">
        <v>961</v>
      </c>
      <c r="C91" s="19" t="s">
        <v>785</v>
      </c>
      <c r="D91" s="37" t="s">
        <v>786</v>
      </c>
      <c r="E91" s="21">
        <v>4</v>
      </c>
      <c r="F91" s="21">
        <v>5</v>
      </c>
      <c r="G91" s="21" t="s">
        <v>52</v>
      </c>
      <c r="H91" s="21"/>
      <c r="I91" s="21">
        <v>1</v>
      </c>
      <c r="J91" s="21">
        <v>3</v>
      </c>
      <c r="K91" s="21" t="s">
        <v>17</v>
      </c>
      <c r="L91" s="21">
        <v>4</v>
      </c>
      <c r="M91" s="38" t="s">
        <v>962</v>
      </c>
      <c r="N91" s="23" t="s">
        <v>963</v>
      </c>
    </row>
    <row r="92" spans="1:14" ht="30" x14ac:dyDescent="0.25">
      <c r="A92" s="19" t="s">
        <v>521</v>
      </c>
      <c r="B92" s="19" t="s">
        <v>929</v>
      </c>
      <c r="C92" s="19" t="s">
        <v>930</v>
      </c>
      <c r="D92" s="37">
        <v>1</v>
      </c>
      <c r="E92" s="21">
        <v>3</v>
      </c>
      <c r="F92" s="21">
        <v>5</v>
      </c>
      <c r="G92" s="21"/>
      <c r="H92" s="21"/>
      <c r="I92" s="21">
        <v>2</v>
      </c>
      <c r="J92" s="21">
        <v>2</v>
      </c>
      <c r="K92" s="21" t="s">
        <v>18</v>
      </c>
      <c r="L92" s="21">
        <v>2</v>
      </c>
      <c r="M92" s="38" t="s">
        <v>931</v>
      </c>
      <c r="N92" s="23" t="s">
        <v>932</v>
      </c>
    </row>
    <row r="93" spans="1:14" ht="30" x14ac:dyDescent="0.25">
      <c r="A93" s="19" t="s">
        <v>521</v>
      </c>
      <c r="B93" s="19" t="s">
        <v>929</v>
      </c>
      <c r="C93" s="19" t="s">
        <v>930</v>
      </c>
      <c r="D93" s="39" t="s">
        <v>15</v>
      </c>
      <c r="E93" s="21">
        <v>4</v>
      </c>
      <c r="F93" s="21">
        <v>6</v>
      </c>
      <c r="G93" s="21"/>
      <c r="H93" s="21"/>
      <c r="I93" s="21">
        <v>2</v>
      </c>
      <c r="J93" s="21">
        <v>2</v>
      </c>
      <c r="K93" s="21" t="s">
        <v>18</v>
      </c>
      <c r="L93" s="21">
        <v>3</v>
      </c>
      <c r="M93" s="38" t="s">
        <v>931</v>
      </c>
      <c r="N93" s="23" t="s">
        <v>932</v>
      </c>
    </row>
    <row r="94" spans="1:14" ht="30" x14ac:dyDescent="0.25">
      <c r="A94" s="19" t="s">
        <v>521</v>
      </c>
      <c r="B94" s="19" t="s">
        <v>929</v>
      </c>
      <c r="C94" s="19" t="s">
        <v>930</v>
      </c>
      <c r="D94" s="37" t="s">
        <v>20</v>
      </c>
      <c r="E94" s="21">
        <v>5</v>
      </c>
      <c r="F94" s="21">
        <v>7</v>
      </c>
      <c r="G94" s="21"/>
      <c r="H94" s="21"/>
      <c r="I94" s="21">
        <v>2</v>
      </c>
      <c r="J94" s="21">
        <v>2</v>
      </c>
      <c r="K94" s="21" t="s">
        <v>18</v>
      </c>
      <c r="L94" s="21">
        <v>3</v>
      </c>
      <c r="M94" s="38" t="s">
        <v>931</v>
      </c>
      <c r="N94" s="23" t="s">
        <v>932</v>
      </c>
    </row>
    <row r="95" spans="1:14" ht="30" x14ac:dyDescent="0.25">
      <c r="A95" s="19" t="s">
        <v>521</v>
      </c>
      <c r="B95" s="19" t="s">
        <v>929</v>
      </c>
      <c r="C95" s="19" t="s">
        <v>930</v>
      </c>
      <c r="D95" s="37" t="s">
        <v>786</v>
      </c>
      <c r="E95" s="21">
        <v>7</v>
      </c>
      <c r="F95" s="21">
        <v>7</v>
      </c>
      <c r="G95" s="21"/>
      <c r="H95" s="21"/>
      <c r="I95" s="21">
        <v>2</v>
      </c>
      <c r="J95" s="21">
        <v>2</v>
      </c>
      <c r="K95" s="21" t="s">
        <v>18</v>
      </c>
      <c r="L95" s="21">
        <v>4</v>
      </c>
      <c r="M95" s="38" t="s">
        <v>931</v>
      </c>
      <c r="N95" s="23" t="s">
        <v>932</v>
      </c>
    </row>
    <row r="96" spans="1:14" x14ac:dyDescent="0.25">
      <c r="A96" s="19" t="s">
        <v>521</v>
      </c>
      <c r="B96" s="19" t="s">
        <v>933</v>
      </c>
      <c r="C96" s="19" t="s">
        <v>930</v>
      </c>
      <c r="D96" s="37">
        <v>1</v>
      </c>
      <c r="E96" s="21">
        <v>3</v>
      </c>
      <c r="F96" s="21">
        <v>5</v>
      </c>
      <c r="G96" s="21"/>
      <c r="H96" s="21"/>
      <c r="I96" s="21">
        <v>2</v>
      </c>
      <c r="J96" s="21">
        <v>2</v>
      </c>
      <c r="K96" s="21" t="s">
        <v>17</v>
      </c>
      <c r="L96" s="21">
        <v>3</v>
      </c>
      <c r="M96" s="38" t="s">
        <v>934</v>
      </c>
      <c r="N96" s="23" t="s">
        <v>935</v>
      </c>
    </row>
    <row r="97" spans="1:14" x14ac:dyDescent="0.25">
      <c r="A97" s="19" t="s">
        <v>521</v>
      </c>
      <c r="B97" s="19" t="s">
        <v>933</v>
      </c>
      <c r="C97" s="19" t="s">
        <v>930</v>
      </c>
      <c r="D97" s="39" t="s">
        <v>15</v>
      </c>
      <c r="E97" s="21">
        <v>4</v>
      </c>
      <c r="F97" s="21">
        <v>6</v>
      </c>
      <c r="G97" s="21"/>
      <c r="H97" s="21"/>
      <c r="I97" s="21">
        <v>2</v>
      </c>
      <c r="J97" s="21">
        <v>2</v>
      </c>
      <c r="K97" s="21" t="s">
        <v>17</v>
      </c>
      <c r="L97" s="21">
        <v>4</v>
      </c>
      <c r="M97" s="38" t="s">
        <v>934</v>
      </c>
      <c r="N97" s="23" t="s">
        <v>935</v>
      </c>
    </row>
    <row r="98" spans="1:14" x14ac:dyDescent="0.25">
      <c r="A98" s="19" t="s">
        <v>521</v>
      </c>
      <c r="B98" s="19" t="s">
        <v>933</v>
      </c>
      <c r="C98" s="19" t="s">
        <v>930</v>
      </c>
      <c r="D98" s="37" t="s">
        <v>20</v>
      </c>
      <c r="E98" s="21">
        <v>5</v>
      </c>
      <c r="F98" s="21">
        <v>7</v>
      </c>
      <c r="G98" s="21"/>
      <c r="H98" s="21"/>
      <c r="I98" s="21">
        <v>2</v>
      </c>
      <c r="J98" s="21">
        <v>2</v>
      </c>
      <c r="K98" s="21" t="s">
        <v>17</v>
      </c>
      <c r="L98" s="21">
        <v>4</v>
      </c>
      <c r="M98" s="38" t="s">
        <v>934</v>
      </c>
      <c r="N98" s="23" t="s">
        <v>935</v>
      </c>
    </row>
    <row r="99" spans="1:14" x14ac:dyDescent="0.25">
      <c r="A99" s="19" t="s">
        <v>521</v>
      </c>
      <c r="B99" s="19" t="s">
        <v>933</v>
      </c>
      <c r="C99" s="19" t="s">
        <v>930</v>
      </c>
      <c r="D99" s="37" t="s">
        <v>786</v>
      </c>
      <c r="E99" s="21">
        <v>7</v>
      </c>
      <c r="F99" s="21">
        <v>7</v>
      </c>
      <c r="G99" s="21"/>
      <c r="H99" s="21"/>
      <c r="I99" s="21">
        <v>2</v>
      </c>
      <c r="J99" s="21">
        <v>2</v>
      </c>
      <c r="K99" s="21" t="s">
        <v>17</v>
      </c>
      <c r="L99" s="21">
        <v>5</v>
      </c>
      <c r="M99" s="38" t="s">
        <v>934</v>
      </c>
      <c r="N99" s="23" t="s">
        <v>935</v>
      </c>
    </row>
    <row r="100" spans="1:14" x14ac:dyDescent="0.25">
      <c r="A100" s="19" t="s">
        <v>521</v>
      </c>
      <c r="B100" s="19" t="s">
        <v>936</v>
      </c>
      <c r="C100" s="19" t="s">
        <v>937</v>
      </c>
      <c r="D100" s="37">
        <v>1</v>
      </c>
      <c r="E100" s="21">
        <v>4</v>
      </c>
      <c r="F100" s="21">
        <v>6</v>
      </c>
      <c r="G100" s="21">
        <v>3</v>
      </c>
      <c r="H100" s="21"/>
      <c r="I100" s="21">
        <v>3</v>
      </c>
      <c r="J100" s="21">
        <v>2</v>
      </c>
      <c r="K100" s="21" t="s">
        <v>18</v>
      </c>
      <c r="L100" s="21">
        <v>4</v>
      </c>
      <c r="M100" s="38" t="s">
        <v>938</v>
      </c>
      <c r="N100" s="23" t="s">
        <v>939</v>
      </c>
    </row>
    <row r="101" spans="1:14" x14ac:dyDescent="0.25">
      <c r="A101" s="19" t="s">
        <v>521</v>
      </c>
      <c r="B101" s="19" t="s">
        <v>936</v>
      </c>
      <c r="C101" s="19" t="s">
        <v>937</v>
      </c>
      <c r="D101" s="39" t="s">
        <v>15</v>
      </c>
      <c r="E101" s="21">
        <v>5</v>
      </c>
      <c r="F101" s="21">
        <v>7</v>
      </c>
      <c r="G101" s="21">
        <v>3</v>
      </c>
      <c r="H101" s="21"/>
      <c r="I101" s="21">
        <v>3</v>
      </c>
      <c r="J101" s="21">
        <v>2</v>
      </c>
      <c r="K101" s="21" t="s">
        <v>18</v>
      </c>
      <c r="L101" s="21">
        <v>4</v>
      </c>
      <c r="M101" s="38" t="s">
        <v>938</v>
      </c>
      <c r="N101" s="23" t="s">
        <v>939</v>
      </c>
    </row>
    <row r="102" spans="1:14" x14ac:dyDescent="0.25">
      <c r="A102" s="19" t="s">
        <v>521</v>
      </c>
      <c r="B102" s="19" t="s">
        <v>936</v>
      </c>
      <c r="C102" s="19" t="s">
        <v>937</v>
      </c>
      <c r="D102" s="37" t="s">
        <v>20</v>
      </c>
      <c r="E102" s="21">
        <v>6</v>
      </c>
      <c r="F102" s="21">
        <v>8</v>
      </c>
      <c r="G102" s="21">
        <v>4</v>
      </c>
      <c r="H102" s="21"/>
      <c r="I102" s="21">
        <v>3</v>
      </c>
      <c r="J102" s="21">
        <v>2</v>
      </c>
      <c r="K102" s="21" t="s">
        <v>18</v>
      </c>
      <c r="L102" s="21">
        <v>5</v>
      </c>
      <c r="M102" s="38" t="s">
        <v>938</v>
      </c>
      <c r="N102" s="23" t="s">
        <v>939</v>
      </c>
    </row>
    <row r="103" spans="1:14" x14ac:dyDescent="0.25">
      <c r="A103" s="19" t="s">
        <v>521</v>
      </c>
      <c r="B103" s="19" t="s">
        <v>936</v>
      </c>
      <c r="C103" s="19" t="s">
        <v>937</v>
      </c>
      <c r="D103" s="37" t="s">
        <v>786</v>
      </c>
      <c r="E103" s="21">
        <v>8</v>
      </c>
      <c r="F103" s="21">
        <v>8</v>
      </c>
      <c r="G103" s="21">
        <v>4</v>
      </c>
      <c r="H103" s="21"/>
      <c r="I103" s="21">
        <v>3</v>
      </c>
      <c r="J103" s="21">
        <v>2</v>
      </c>
      <c r="K103" s="21" t="s">
        <v>18</v>
      </c>
      <c r="L103" s="21">
        <v>5</v>
      </c>
      <c r="M103" s="38" t="s">
        <v>938</v>
      </c>
      <c r="N103" s="23" t="s">
        <v>939</v>
      </c>
    </row>
    <row r="104" spans="1:14" x14ac:dyDescent="0.25">
      <c r="A104" s="19" t="s">
        <v>521</v>
      </c>
      <c r="B104" s="19" t="s">
        <v>940</v>
      </c>
      <c r="C104" s="19" t="s">
        <v>937</v>
      </c>
      <c r="D104" s="37">
        <v>1</v>
      </c>
      <c r="E104" s="21">
        <v>5</v>
      </c>
      <c r="F104" s="21">
        <v>6</v>
      </c>
      <c r="G104" s="21">
        <v>2</v>
      </c>
      <c r="H104" s="21"/>
      <c r="I104" s="21">
        <v>3</v>
      </c>
      <c r="J104" s="21">
        <v>3</v>
      </c>
      <c r="K104" s="21" t="s">
        <v>17</v>
      </c>
      <c r="L104" s="21">
        <v>4</v>
      </c>
      <c r="M104" s="38" t="s">
        <v>941</v>
      </c>
      <c r="N104" s="23" t="s">
        <v>942</v>
      </c>
    </row>
    <row r="105" spans="1:14" x14ac:dyDescent="0.25">
      <c r="A105" s="19" t="s">
        <v>521</v>
      </c>
      <c r="B105" s="19" t="s">
        <v>940</v>
      </c>
      <c r="C105" s="19" t="s">
        <v>937</v>
      </c>
      <c r="D105" s="39" t="s">
        <v>15</v>
      </c>
      <c r="E105" s="21">
        <v>6</v>
      </c>
      <c r="F105" s="21">
        <v>7</v>
      </c>
      <c r="G105" s="21">
        <v>2</v>
      </c>
      <c r="H105" s="21"/>
      <c r="I105" s="21">
        <v>3</v>
      </c>
      <c r="J105" s="21">
        <v>3</v>
      </c>
      <c r="K105" s="21" t="s">
        <v>17</v>
      </c>
      <c r="L105" s="21">
        <v>4</v>
      </c>
      <c r="M105" s="38" t="s">
        <v>941</v>
      </c>
      <c r="N105" s="23" t="s">
        <v>942</v>
      </c>
    </row>
    <row r="106" spans="1:14" x14ac:dyDescent="0.25">
      <c r="A106" s="19" t="s">
        <v>521</v>
      </c>
      <c r="B106" s="19" t="s">
        <v>940</v>
      </c>
      <c r="C106" s="19" t="s">
        <v>937</v>
      </c>
      <c r="D106" s="37" t="s">
        <v>20</v>
      </c>
      <c r="E106" s="21">
        <v>7</v>
      </c>
      <c r="F106" s="21">
        <v>8</v>
      </c>
      <c r="G106" s="21">
        <v>3</v>
      </c>
      <c r="H106" s="21"/>
      <c r="I106" s="21">
        <v>3</v>
      </c>
      <c r="J106" s="21">
        <v>3</v>
      </c>
      <c r="K106" s="21" t="s">
        <v>17</v>
      </c>
      <c r="L106" s="21">
        <v>5</v>
      </c>
      <c r="M106" s="38" t="s">
        <v>941</v>
      </c>
      <c r="N106" s="23" t="s">
        <v>942</v>
      </c>
    </row>
    <row r="107" spans="1:14" x14ac:dyDescent="0.25">
      <c r="A107" s="19" t="s">
        <v>521</v>
      </c>
      <c r="B107" s="19" t="s">
        <v>940</v>
      </c>
      <c r="C107" s="19" t="s">
        <v>937</v>
      </c>
      <c r="D107" s="37" t="s">
        <v>786</v>
      </c>
      <c r="E107" s="21">
        <v>9</v>
      </c>
      <c r="F107" s="21">
        <v>9</v>
      </c>
      <c r="G107" s="21">
        <v>3</v>
      </c>
      <c r="H107" s="21"/>
      <c r="I107" s="21">
        <v>3</v>
      </c>
      <c r="J107" s="21">
        <v>3</v>
      </c>
      <c r="K107" s="21" t="s">
        <v>17</v>
      </c>
      <c r="L107" s="21">
        <v>5</v>
      </c>
      <c r="M107" s="38" t="s">
        <v>941</v>
      </c>
      <c r="N107" s="23" t="s">
        <v>942</v>
      </c>
    </row>
    <row r="108" spans="1:14" x14ac:dyDescent="0.25">
      <c r="A108" s="19" t="s">
        <v>521</v>
      </c>
      <c r="B108" s="19" t="s">
        <v>943</v>
      </c>
      <c r="C108" s="19" t="s">
        <v>77</v>
      </c>
      <c r="D108" s="37">
        <v>1</v>
      </c>
      <c r="E108" s="21">
        <v>6</v>
      </c>
      <c r="F108" s="21">
        <v>7</v>
      </c>
      <c r="G108" s="21">
        <v>1</v>
      </c>
      <c r="H108" s="21"/>
      <c r="I108" s="21">
        <v>3</v>
      </c>
      <c r="J108" s="21">
        <v>0</v>
      </c>
      <c r="K108" s="21" t="s">
        <v>17</v>
      </c>
      <c r="L108" s="21">
        <v>4</v>
      </c>
      <c r="M108" s="38" t="s">
        <v>944</v>
      </c>
      <c r="N108" s="23" t="s">
        <v>945</v>
      </c>
    </row>
    <row r="109" spans="1:14" x14ac:dyDescent="0.25">
      <c r="A109" s="19" t="s">
        <v>521</v>
      </c>
      <c r="B109" s="19" t="s">
        <v>943</v>
      </c>
      <c r="C109" s="19" t="s">
        <v>77</v>
      </c>
      <c r="D109" s="39" t="s">
        <v>15</v>
      </c>
      <c r="E109" s="21">
        <v>8</v>
      </c>
      <c r="F109" s="21">
        <v>8</v>
      </c>
      <c r="G109" s="21">
        <v>1</v>
      </c>
      <c r="H109" s="21"/>
      <c r="I109" s="21">
        <v>3</v>
      </c>
      <c r="J109" s="21">
        <v>0</v>
      </c>
      <c r="K109" s="21" t="s">
        <v>17</v>
      </c>
      <c r="L109" s="21">
        <v>5</v>
      </c>
      <c r="M109" s="38" t="s">
        <v>944</v>
      </c>
      <c r="N109" s="23" t="s">
        <v>945</v>
      </c>
    </row>
    <row r="110" spans="1:14" x14ac:dyDescent="0.25">
      <c r="A110" s="19" t="s">
        <v>521</v>
      </c>
      <c r="B110" s="19" t="s">
        <v>943</v>
      </c>
      <c r="C110" s="19" t="s">
        <v>77</v>
      </c>
      <c r="D110" s="37" t="s">
        <v>20</v>
      </c>
      <c r="E110" s="21">
        <v>9</v>
      </c>
      <c r="F110" s="21">
        <v>9</v>
      </c>
      <c r="G110" s="21">
        <v>2</v>
      </c>
      <c r="H110" s="21"/>
      <c r="I110" s="21">
        <v>3</v>
      </c>
      <c r="J110" s="21">
        <v>0</v>
      </c>
      <c r="K110" s="21" t="s">
        <v>17</v>
      </c>
      <c r="L110" s="21">
        <v>5</v>
      </c>
      <c r="M110" s="38" t="s">
        <v>944</v>
      </c>
      <c r="N110" s="23" t="s">
        <v>945</v>
      </c>
    </row>
    <row r="111" spans="1:14" ht="30" x14ac:dyDescent="0.25">
      <c r="A111" s="19" t="s">
        <v>521</v>
      </c>
      <c r="B111" s="19" t="s">
        <v>943</v>
      </c>
      <c r="C111" s="19" t="s">
        <v>77</v>
      </c>
      <c r="D111" s="37" t="s">
        <v>786</v>
      </c>
      <c r="E111" s="21">
        <v>14</v>
      </c>
      <c r="F111" s="21"/>
      <c r="G111" s="21">
        <v>3</v>
      </c>
      <c r="H111" s="21"/>
      <c r="I111" s="21">
        <v>3</v>
      </c>
      <c r="J111" s="21">
        <v>0</v>
      </c>
      <c r="K111" s="21" t="s">
        <v>17</v>
      </c>
      <c r="L111" s="21">
        <v>6</v>
      </c>
      <c r="M111" s="38" t="s">
        <v>944</v>
      </c>
      <c r="N111" s="23" t="s">
        <v>964</v>
      </c>
    </row>
    <row r="112" spans="1:14" ht="30" x14ac:dyDescent="0.25">
      <c r="A112" s="19" t="s">
        <v>521</v>
      </c>
      <c r="B112" s="19" t="s">
        <v>946</v>
      </c>
      <c r="C112" s="19" t="s">
        <v>937</v>
      </c>
      <c r="D112" s="37">
        <v>1</v>
      </c>
      <c r="E112" s="21">
        <v>4</v>
      </c>
      <c r="F112" s="21">
        <v>5</v>
      </c>
      <c r="G112" s="21">
        <v>3</v>
      </c>
      <c r="H112" s="21"/>
      <c r="I112" s="21">
        <v>3</v>
      </c>
      <c r="J112" s="21">
        <v>2</v>
      </c>
      <c r="K112" s="21" t="s">
        <v>18</v>
      </c>
      <c r="L112" s="21">
        <v>4</v>
      </c>
      <c r="M112" s="38" t="s">
        <v>947</v>
      </c>
      <c r="N112" s="23" t="s">
        <v>948</v>
      </c>
    </row>
    <row r="113" spans="1:14" ht="30" x14ac:dyDescent="0.25">
      <c r="A113" s="19" t="s">
        <v>521</v>
      </c>
      <c r="B113" s="19" t="s">
        <v>946</v>
      </c>
      <c r="C113" s="19" t="s">
        <v>937</v>
      </c>
      <c r="D113" s="39" t="s">
        <v>15</v>
      </c>
      <c r="E113" s="21">
        <v>5</v>
      </c>
      <c r="F113" s="21">
        <v>6</v>
      </c>
      <c r="G113" s="21">
        <v>3</v>
      </c>
      <c r="H113" s="21"/>
      <c r="I113" s="21">
        <v>3</v>
      </c>
      <c r="J113" s="21">
        <v>2</v>
      </c>
      <c r="K113" s="21" t="s">
        <v>18</v>
      </c>
      <c r="L113" s="21">
        <v>4</v>
      </c>
      <c r="M113" s="38" t="s">
        <v>947</v>
      </c>
      <c r="N113" s="23" t="s">
        <v>948</v>
      </c>
    </row>
    <row r="114" spans="1:14" ht="30" x14ac:dyDescent="0.25">
      <c r="A114" s="19" t="s">
        <v>521</v>
      </c>
      <c r="B114" s="19" t="s">
        <v>946</v>
      </c>
      <c r="C114" s="19" t="s">
        <v>937</v>
      </c>
      <c r="D114" s="37" t="s">
        <v>20</v>
      </c>
      <c r="E114" s="21">
        <v>6</v>
      </c>
      <c r="F114" s="21">
        <v>7</v>
      </c>
      <c r="G114" s="21">
        <v>4</v>
      </c>
      <c r="H114" s="21"/>
      <c r="I114" s="21">
        <v>3</v>
      </c>
      <c r="J114" s="21">
        <v>2</v>
      </c>
      <c r="K114" s="21" t="s">
        <v>18</v>
      </c>
      <c r="L114" s="21">
        <v>5</v>
      </c>
      <c r="M114" s="38" t="s">
        <v>947</v>
      </c>
      <c r="N114" s="23" t="s">
        <v>948</v>
      </c>
    </row>
    <row r="115" spans="1:14" ht="30" x14ac:dyDescent="0.25">
      <c r="A115" s="19" t="s">
        <v>521</v>
      </c>
      <c r="B115" s="19" t="s">
        <v>946</v>
      </c>
      <c r="C115" s="19" t="s">
        <v>937</v>
      </c>
      <c r="D115" s="37" t="s">
        <v>786</v>
      </c>
      <c r="E115" s="21">
        <v>8</v>
      </c>
      <c r="F115" s="21">
        <v>8</v>
      </c>
      <c r="G115" s="21">
        <v>4</v>
      </c>
      <c r="H115" s="21"/>
      <c r="I115" s="21">
        <v>3</v>
      </c>
      <c r="J115" s="21">
        <v>2</v>
      </c>
      <c r="K115" s="21" t="s">
        <v>18</v>
      </c>
      <c r="L115" s="21">
        <v>5</v>
      </c>
      <c r="M115" s="38" t="s">
        <v>947</v>
      </c>
      <c r="N115" s="23" t="s">
        <v>948</v>
      </c>
    </row>
    <row r="116" spans="1:14" x14ac:dyDescent="0.25">
      <c r="A116" s="19" t="s">
        <v>521</v>
      </c>
      <c r="B116" s="19" t="s">
        <v>949</v>
      </c>
      <c r="C116" s="19" t="s">
        <v>937</v>
      </c>
      <c r="D116" s="37">
        <v>1</v>
      </c>
      <c r="E116" s="21">
        <v>4</v>
      </c>
      <c r="F116" s="21">
        <v>6</v>
      </c>
      <c r="G116" s="21">
        <v>2</v>
      </c>
      <c r="H116" s="21"/>
      <c r="I116" s="21">
        <v>3</v>
      </c>
      <c r="J116" s="21">
        <v>3</v>
      </c>
      <c r="K116" s="21" t="s">
        <v>17</v>
      </c>
      <c r="L116" s="21">
        <v>4</v>
      </c>
      <c r="M116" s="38" t="s">
        <v>950</v>
      </c>
      <c r="N116" s="23" t="s">
        <v>951</v>
      </c>
    </row>
    <row r="117" spans="1:14" x14ac:dyDescent="0.25">
      <c r="A117" s="19" t="s">
        <v>521</v>
      </c>
      <c r="B117" s="19" t="s">
        <v>949</v>
      </c>
      <c r="C117" s="19" t="s">
        <v>937</v>
      </c>
      <c r="D117" s="39" t="s">
        <v>15</v>
      </c>
      <c r="E117" s="21">
        <v>5</v>
      </c>
      <c r="F117" s="21">
        <v>7</v>
      </c>
      <c r="G117" s="21">
        <v>2</v>
      </c>
      <c r="H117" s="21"/>
      <c r="I117" s="21">
        <v>3</v>
      </c>
      <c r="J117" s="21">
        <v>3</v>
      </c>
      <c r="K117" s="21" t="s">
        <v>17</v>
      </c>
      <c r="L117" s="21">
        <v>4</v>
      </c>
      <c r="M117" s="38" t="s">
        <v>950</v>
      </c>
      <c r="N117" s="23" t="s">
        <v>951</v>
      </c>
    </row>
    <row r="118" spans="1:14" x14ac:dyDescent="0.25">
      <c r="A118" s="19" t="s">
        <v>521</v>
      </c>
      <c r="B118" s="19" t="s">
        <v>949</v>
      </c>
      <c r="C118" s="19" t="s">
        <v>937</v>
      </c>
      <c r="D118" s="37" t="s">
        <v>20</v>
      </c>
      <c r="E118" s="21">
        <v>6</v>
      </c>
      <c r="F118" s="21">
        <v>8</v>
      </c>
      <c r="G118" s="21">
        <v>3</v>
      </c>
      <c r="H118" s="21"/>
      <c r="I118" s="21">
        <v>3</v>
      </c>
      <c r="J118" s="21">
        <v>3</v>
      </c>
      <c r="K118" s="21" t="s">
        <v>17</v>
      </c>
      <c r="L118" s="21">
        <v>5</v>
      </c>
      <c r="M118" s="38" t="s">
        <v>950</v>
      </c>
      <c r="N118" s="23" t="s">
        <v>951</v>
      </c>
    </row>
    <row r="119" spans="1:14" x14ac:dyDescent="0.25">
      <c r="A119" s="19" t="s">
        <v>521</v>
      </c>
      <c r="B119" s="19" t="s">
        <v>949</v>
      </c>
      <c r="C119" s="19" t="s">
        <v>937</v>
      </c>
      <c r="D119" s="37" t="s">
        <v>786</v>
      </c>
      <c r="E119" s="21">
        <v>8</v>
      </c>
      <c r="F119" s="21">
        <v>9</v>
      </c>
      <c r="G119" s="21">
        <v>3</v>
      </c>
      <c r="H119" s="21"/>
      <c r="I119" s="21">
        <v>3</v>
      </c>
      <c r="J119" s="21">
        <v>3</v>
      </c>
      <c r="K119" s="21" t="s">
        <v>17</v>
      </c>
      <c r="L119" s="21">
        <v>5</v>
      </c>
      <c r="M119" s="38" t="s">
        <v>950</v>
      </c>
      <c r="N119" s="23" t="s">
        <v>951</v>
      </c>
    </row>
    <row r="120" spans="1:14" x14ac:dyDescent="0.25">
      <c r="A120" s="19" t="s">
        <v>521</v>
      </c>
      <c r="B120" s="19" t="s">
        <v>952</v>
      </c>
      <c r="C120" s="19" t="s">
        <v>937</v>
      </c>
      <c r="D120" s="37">
        <v>1</v>
      </c>
      <c r="E120" s="21">
        <v>4</v>
      </c>
      <c r="F120" s="21">
        <v>6</v>
      </c>
      <c r="G120" s="21">
        <v>2</v>
      </c>
      <c r="H120" s="21"/>
      <c r="I120" s="21">
        <v>3</v>
      </c>
      <c r="J120" s="21">
        <v>3</v>
      </c>
      <c r="K120" s="21" t="s">
        <v>18</v>
      </c>
      <c r="L120" s="21">
        <v>4</v>
      </c>
      <c r="M120" s="38" t="s">
        <v>953</v>
      </c>
      <c r="N120" s="23" t="s">
        <v>954</v>
      </c>
    </row>
    <row r="121" spans="1:14" x14ac:dyDescent="0.25">
      <c r="A121" s="19" t="s">
        <v>521</v>
      </c>
      <c r="B121" s="19" t="s">
        <v>952</v>
      </c>
      <c r="C121" s="19" t="s">
        <v>937</v>
      </c>
      <c r="D121" s="39" t="s">
        <v>15</v>
      </c>
      <c r="E121" s="21">
        <v>5</v>
      </c>
      <c r="F121" s="21">
        <v>7</v>
      </c>
      <c r="G121" s="21">
        <v>2</v>
      </c>
      <c r="H121" s="21"/>
      <c r="I121" s="21">
        <v>3</v>
      </c>
      <c r="J121" s="21">
        <v>3</v>
      </c>
      <c r="K121" s="21" t="s">
        <v>18</v>
      </c>
      <c r="L121" s="21">
        <v>4</v>
      </c>
      <c r="M121" s="38" t="s">
        <v>953</v>
      </c>
      <c r="N121" s="23" t="s">
        <v>954</v>
      </c>
    </row>
    <row r="122" spans="1:14" x14ac:dyDescent="0.25">
      <c r="A122" s="19" t="s">
        <v>521</v>
      </c>
      <c r="B122" s="19" t="s">
        <v>952</v>
      </c>
      <c r="C122" s="19" t="s">
        <v>937</v>
      </c>
      <c r="D122" s="37" t="s">
        <v>20</v>
      </c>
      <c r="E122" s="21">
        <v>6</v>
      </c>
      <c r="F122" s="21">
        <v>8</v>
      </c>
      <c r="G122" s="21">
        <v>3</v>
      </c>
      <c r="H122" s="21"/>
      <c r="I122" s="21">
        <v>3</v>
      </c>
      <c r="J122" s="21">
        <v>3</v>
      </c>
      <c r="K122" s="21" t="s">
        <v>18</v>
      </c>
      <c r="L122" s="21">
        <v>5</v>
      </c>
      <c r="M122" s="38" t="s">
        <v>953</v>
      </c>
      <c r="N122" s="23" t="s">
        <v>954</v>
      </c>
    </row>
    <row r="123" spans="1:14" x14ac:dyDescent="0.25">
      <c r="A123" s="19" t="s">
        <v>521</v>
      </c>
      <c r="B123" s="19" t="s">
        <v>952</v>
      </c>
      <c r="C123" s="19" t="s">
        <v>937</v>
      </c>
      <c r="D123" s="37" t="s">
        <v>786</v>
      </c>
      <c r="E123" s="21">
        <v>8</v>
      </c>
      <c r="F123" s="21">
        <v>9</v>
      </c>
      <c r="G123" s="21">
        <v>3</v>
      </c>
      <c r="H123" s="21"/>
      <c r="I123" s="21">
        <v>3</v>
      </c>
      <c r="J123" s="21">
        <v>3</v>
      </c>
      <c r="K123" s="21" t="s">
        <v>18</v>
      </c>
      <c r="L123" s="21">
        <v>5</v>
      </c>
      <c r="M123" s="38" t="s">
        <v>953</v>
      </c>
      <c r="N123" s="23" t="s">
        <v>954</v>
      </c>
    </row>
    <row r="124" spans="1:14" ht="30" x14ac:dyDescent="0.25">
      <c r="A124" s="19" t="s">
        <v>521</v>
      </c>
      <c r="B124" s="19" t="s">
        <v>955</v>
      </c>
      <c r="C124" s="19" t="s">
        <v>937</v>
      </c>
      <c r="D124" s="37">
        <v>1</v>
      </c>
      <c r="E124" s="21">
        <v>5</v>
      </c>
      <c r="F124" s="21">
        <v>6</v>
      </c>
      <c r="G124" s="21">
        <v>1</v>
      </c>
      <c r="H124" s="21"/>
      <c r="I124" s="21">
        <v>3</v>
      </c>
      <c r="J124" s="21">
        <v>2</v>
      </c>
      <c r="K124" s="21" t="s">
        <v>17</v>
      </c>
      <c r="L124" s="21">
        <v>4</v>
      </c>
      <c r="M124" s="38" t="s">
        <v>956</v>
      </c>
      <c r="N124" s="23" t="s">
        <v>957</v>
      </c>
    </row>
    <row r="125" spans="1:14" ht="30" x14ac:dyDescent="0.25">
      <c r="A125" s="19" t="s">
        <v>521</v>
      </c>
      <c r="B125" s="19" t="s">
        <v>955</v>
      </c>
      <c r="C125" s="19" t="s">
        <v>937</v>
      </c>
      <c r="D125" s="39" t="s">
        <v>15</v>
      </c>
      <c r="E125" s="21">
        <v>6</v>
      </c>
      <c r="F125" s="21">
        <v>7</v>
      </c>
      <c r="G125" s="21">
        <v>1</v>
      </c>
      <c r="H125" s="21"/>
      <c r="I125" s="21">
        <v>3</v>
      </c>
      <c r="J125" s="21">
        <v>2</v>
      </c>
      <c r="K125" s="21" t="s">
        <v>17</v>
      </c>
      <c r="L125" s="21">
        <v>4</v>
      </c>
      <c r="M125" s="38" t="s">
        <v>956</v>
      </c>
      <c r="N125" s="23" t="s">
        <v>957</v>
      </c>
    </row>
    <row r="126" spans="1:14" ht="30" x14ac:dyDescent="0.25">
      <c r="A126" s="19" t="s">
        <v>521</v>
      </c>
      <c r="B126" s="19" t="s">
        <v>955</v>
      </c>
      <c r="C126" s="19" t="s">
        <v>937</v>
      </c>
      <c r="D126" s="37" t="s">
        <v>20</v>
      </c>
      <c r="E126" s="21">
        <v>7</v>
      </c>
      <c r="F126" s="21">
        <v>8</v>
      </c>
      <c r="G126" s="21">
        <v>2</v>
      </c>
      <c r="H126" s="21"/>
      <c r="I126" s="21">
        <v>3</v>
      </c>
      <c r="J126" s="21">
        <v>2</v>
      </c>
      <c r="K126" s="21" t="s">
        <v>17</v>
      </c>
      <c r="L126" s="21">
        <v>5</v>
      </c>
      <c r="M126" s="38" t="s">
        <v>956</v>
      </c>
      <c r="N126" s="23" t="s">
        <v>957</v>
      </c>
    </row>
    <row r="127" spans="1:14" ht="30" x14ac:dyDescent="0.25">
      <c r="A127" s="19" t="s">
        <v>521</v>
      </c>
      <c r="B127" s="19" t="s">
        <v>955</v>
      </c>
      <c r="C127" s="19" t="s">
        <v>937</v>
      </c>
      <c r="D127" s="37" t="s">
        <v>786</v>
      </c>
      <c r="E127" s="21">
        <v>9</v>
      </c>
      <c r="F127" s="21">
        <v>9</v>
      </c>
      <c r="G127" s="21">
        <v>2</v>
      </c>
      <c r="H127" s="21"/>
      <c r="I127" s="21">
        <v>3</v>
      </c>
      <c r="J127" s="21">
        <v>2</v>
      </c>
      <c r="K127" s="21" t="s">
        <v>17</v>
      </c>
      <c r="L127" s="21">
        <v>5</v>
      </c>
      <c r="M127" s="38" t="s">
        <v>956</v>
      </c>
      <c r="N127" s="23" t="s">
        <v>957</v>
      </c>
    </row>
    <row r="128" spans="1:14" ht="30" x14ac:dyDescent="0.25">
      <c r="A128" s="19" t="s">
        <v>521</v>
      </c>
      <c r="B128" s="19" t="s">
        <v>958</v>
      </c>
      <c r="C128" s="19" t="s">
        <v>937</v>
      </c>
      <c r="D128" s="37">
        <v>1</v>
      </c>
      <c r="E128" s="21">
        <v>4</v>
      </c>
      <c r="F128" s="21">
        <v>5</v>
      </c>
      <c r="G128" s="21">
        <v>3</v>
      </c>
      <c r="H128" s="21"/>
      <c r="I128" s="21">
        <v>3</v>
      </c>
      <c r="J128" s="21">
        <v>2</v>
      </c>
      <c r="K128" s="21" t="s">
        <v>18</v>
      </c>
      <c r="L128" s="21">
        <v>4</v>
      </c>
      <c r="M128" s="38" t="s">
        <v>959</v>
      </c>
      <c r="N128" s="23" t="s">
        <v>960</v>
      </c>
    </row>
    <row r="129" spans="1:14" ht="30" x14ac:dyDescent="0.25">
      <c r="A129" s="19" t="s">
        <v>521</v>
      </c>
      <c r="B129" s="19" t="s">
        <v>958</v>
      </c>
      <c r="C129" s="19" t="s">
        <v>937</v>
      </c>
      <c r="D129" s="39" t="s">
        <v>15</v>
      </c>
      <c r="E129" s="21">
        <v>5</v>
      </c>
      <c r="F129" s="21">
        <v>6</v>
      </c>
      <c r="G129" s="21">
        <v>3</v>
      </c>
      <c r="H129" s="21"/>
      <c r="I129" s="21">
        <v>3</v>
      </c>
      <c r="J129" s="21">
        <v>2</v>
      </c>
      <c r="K129" s="21" t="s">
        <v>18</v>
      </c>
      <c r="L129" s="21">
        <v>4</v>
      </c>
      <c r="M129" s="38" t="s">
        <v>959</v>
      </c>
      <c r="N129" s="23" t="s">
        <v>960</v>
      </c>
    </row>
    <row r="130" spans="1:14" ht="30" x14ac:dyDescent="0.25">
      <c r="A130" s="19" t="s">
        <v>521</v>
      </c>
      <c r="B130" s="19" t="s">
        <v>958</v>
      </c>
      <c r="C130" s="19" t="s">
        <v>937</v>
      </c>
      <c r="D130" s="37" t="s">
        <v>20</v>
      </c>
      <c r="E130" s="21">
        <v>6</v>
      </c>
      <c r="F130" s="21">
        <v>7</v>
      </c>
      <c r="G130" s="21">
        <v>4</v>
      </c>
      <c r="H130" s="21"/>
      <c r="I130" s="21">
        <v>3</v>
      </c>
      <c r="J130" s="21">
        <v>2</v>
      </c>
      <c r="K130" s="21" t="s">
        <v>18</v>
      </c>
      <c r="L130" s="21">
        <v>5</v>
      </c>
      <c r="M130" s="38" t="s">
        <v>959</v>
      </c>
      <c r="N130" s="23" t="s">
        <v>960</v>
      </c>
    </row>
    <row r="131" spans="1:14" ht="30" x14ac:dyDescent="0.25">
      <c r="A131" s="19" t="s">
        <v>521</v>
      </c>
      <c r="B131" s="19" t="s">
        <v>958</v>
      </c>
      <c r="C131" s="19" t="s">
        <v>937</v>
      </c>
      <c r="D131" s="37" t="s">
        <v>786</v>
      </c>
      <c r="E131" s="21">
        <v>8</v>
      </c>
      <c r="F131" s="21">
        <v>8</v>
      </c>
      <c r="G131" s="21">
        <v>4</v>
      </c>
      <c r="H131" s="21"/>
      <c r="I131" s="21">
        <v>3</v>
      </c>
      <c r="J131" s="21">
        <v>2</v>
      </c>
      <c r="K131" s="21" t="s">
        <v>18</v>
      </c>
      <c r="L131" s="21">
        <v>5</v>
      </c>
      <c r="M131" s="38" t="s">
        <v>959</v>
      </c>
      <c r="N131" s="23" t="s">
        <v>960</v>
      </c>
    </row>
    <row r="132" spans="1:14" x14ac:dyDescent="0.25">
      <c r="A132" s="19" t="s">
        <v>918</v>
      </c>
      <c r="B132" s="19" t="s">
        <v>978</v>
      </c>
      <c r="C132" s="19" t="s">
        <v>930</v>
      </c>
      <c r="D132" s="37">
        <v>1</v>
      </c>
      <c r="E132" s="21">
        <v>3</v>
      </c>
      <c r="F132" s="21">
        <v>5</v>
      </c>
      <c r="G132" s="21">
        <v>1</v>
      </c>
      <c r="H132" s="21"/>
      <c r="I132" s="21">
        <v>2</v>
      </c>
      <c r="J132" s="21">
        <v>2</v>
      </c>
      <c r="K132" s="21" t="s">
        <v>17</v>
      </c>
      <c r="L132" s="21">
        <v>3</v>
      </c>
      <c r="M132" s="38" t="s">
        <v>979</v>
      </c>
      <c r="N132" s="23" t="s">
        <v>980</v>
      </c>
    </row>
    <row r="133" spans="1:14" x14ac:dyDescent="0.25">
      <c r="A133" s="19" t="s">
        <v>918</v>
      </c>
      <c r="B133" s="19" t="s">
        <v>978</v>
      </c>
      <c r="C133" s="19" t="s">
        <v>930</v>
      </c>
      <c r="D133" s="39" t="s">
        <v>15</v>
      </c>
      <c r="E133" s="21">
        <v>4</v>
      </c>
      <c r="F133" s="21">
        <v>6</v>
      </c>
      <c r="G133" s="21">
        <v>1</v>
      </c>
      <c r="H133" s="21"/>
      <c r="I133" s="21">
        <v>2</v>
      </c>
      <c r="J133" s="21">
        <v>2</v>
      </c>
      <c r="K133" s="21" t="s">
        <v>17</v>
      </c>
      <c r="L133" s="21">
        <v>4</v>
      </c>
      <c r="M133" s="38" t="s">
        <v>979</v>
      </c>
      <c r="N133" s="23" t="s">
        <v>980</v>
      </c>
    </row>
    <row r="134" spans="1:14" x14ac:dyDescent="0.25">
      <c r="A134" s="19" t="s">
        <v>918</v>
      </c>
      <c r="B134" s="19" t="s">
        <v>978</v>
      </c>
      <c r="C134" s="19" t="s">
        <v>930</v>
      </c>
      <c r="D134" s="37" t="s">
        <v>20</v>
      </c>
      <c r="E134" s="21">
        <v>5</v>
      </c>
      <c r="F134" s="21">
        <v>7</v>
      </c>
      <c r="G134" s="21">
        <v>2</v>
      </c>
      <c r="H134" s="21"/>
      <c r="I134" s="21">
        <v>2</v>
      </c>
      <c r="J134" s="21">
        <v>2</v>
      </c>
      <c r="K134" s="21" t="s">
        <v>17</v>
      </c>
      <c r="L134" s="21">
        <v>4</v>
      </c>
      <c r="M134" s="38" t="s">
        <v>979</v>
      </c>
      <c r="N134" s="23" t="s">
        <v>980</v>
      </c>
    </row>
    <row r="135" spans="1:14" x14ac:dyDescent="0.25">
      <c r="A135" s="19" t="s">
        <v>918</v>
      </c>
      <c r="B135" s="19" t="s">
        <v>978</v>
      </c>
      <c r="C135" s="19" t="s">
        <v>930</v>
      </c>
      <c r="D135" s="37" t="s">
        <v>786</v>
      </c>
      <c r="E135" s="21">
        <v>6</v>
      </c>
      <c r="F135" s="21">
        <v>7</v>
      </c>
      <c r="G135" s="21">
        <v>2</v>
      </c>
      <c r="H135" s="21"/>
      <c r="I135" s="21">
        <v>2</v>
      </c>
      <c r="J135" s="21">
        <v>2</v>
      </c>
      <c r="K135" s="21" t="s">
        <v>17</v>
      </c>
      <c r="L135" s="21">
        <v>5</v>
      </c>
      <c r="M135" s="38" t="s">
        <v>979</v>
      </c>
      <c r="N135" s="23" t="s">
        <v>980</v>
      </c>
    </row>
    <row r="136" spans="1:14" x14ac:dyDescent="0.25">
      <c r="A136" s="19" t="s">
        <v>918</v>
      </c>
      <c r="B136" s="19" t="s">
        <v>981</v>
      </c>
      <c r="C136" s="19" t="s">
        <v>930</v>
      </c>
      <c r="D136" s="37">
        <v>1</v>
      </c>
      <c r="E136" s="21">
        <v>3</v>
      </c>
      <c r="F136" s="21">
        <v>4</v>
      </c>
      <c r="G136" s="21">
        <v>2</v>
      </c>
      <c r="H136" s="21"/>
      <c r="I136" s="21">
        <v>2</v>
      </c>
      <c r="J136" s="21">
        <v>2</v>
      </c>
      <c r="K136" s="21" t="s">
        <v>18</v>
      </c>
      <c r="L136" s="21">
        <v>4</v>
      </c>
      <c r="M136" s="38" t="s">
        <v>982</v>
      </c>
      <c r="N136" s="23" t="s">
        <v>983</v>
      </c>
    </row>
    <row r="137" spans="1:14" x14ac:dyDescent="0.25">
      <c r="A137" s="19" t="s">
        <v>918</v>
      </c>
      <c r="B137" s="19" t="s">
        <v>981</v>
      </c>
      <c r="C137" s="19" t="s">
        <v>930</v>
      </c>
      <c r="D137" s="39" t="s">
        <v>15</v>
      </c>
      <c r="E137" s="21">
        <v>4</v>
      </c>
      <c r="F137" s="21">
        <v>5</v>
      </c>
      <c r="G137" s="21">
        <v>2</v>
      </c>
      <c r="H137" s="21"/>
      <c r="I137" s="21">
        <v>2</v>
      </c>
      <c r="J137" s="21">
        <v>2</v>
      </c>
      <c r="K137" s="21" t="s">
        <v>18</v>
      </c>
      <c r="L137" s="21">
        <v>4</v>
      </c>
      <c r="M137" s="38" t="s">
        <v>982</v>
      </c>
      <c r="N137" s="23" t="s">
        <v>983</v>
      </c>
    </row>
    <row r="138" spans="1:14" x14ac:dyDescent="0.25">
      <c r="A138" s="19" t="s">
        <v>918</v>
      </c>
      <c r="B138" s="19" t="s">
        <v>981</v>
      </c>
      <c r="C138" s="19" t="s">
        <v>930</v>
      </c>
      <c r="D138" s="37" t="s">
        <v>20</v>
      </c>
      <c r="E138" s="21">
        <v>5</v>
      </c>
      <c r="F138" s="21">
        <v>6</v>
      </c>
      <c r="G138" s="21">
        <v>2</v>
      </c>
      <c r="H138" s="21"/>
      <c r="I138" s="21">
        <v>2</v>
      </c>
      <c r="J138" s="21">
        <v>2</v>
      </c>
      <c r="K138" s="21" t="s">
        <v>18</v>
      </c>
      <c r="L138" s="21">
        <v>5</v>
      </c>
      <c r="M138" s="38" t="s">
        <v>982</v>
      </c>
      <c r="N138" s="23" t="s">
        <v>983</v>
      </c>
    </row>
    <row r="139" spans="1:14" x14ac:dyDescent="0.25">
      <c r="A139" s="19" t="s">
        <v>918</v>
      </c>
      <c r="B139" s="19" t="s">
        <v>981</v>
      </c>
      <c r="C139" s="19" t="s">
        <v>930</v>
      </c>
      <c r="D139" s="37" t="s">
        <v>786</v>
      </c>
      <c r="E139" s="21">
        <v>6</v>
      </c>
      <c r="F139" s="21">
        <v>7</v>
      </c>
      <c r="G139" s="21">
        <v>2</v>
      </c>
      <c r="H139" s="21"/>
      <c r="I139" s="21">
        <v>2</v>
      </c>
      <c r="J139" s="21">
        <v>2</v>
      </c>
      <c r="K139" s="21" t="s">
        <v>18</v>
      </c>
      <c r="L139" s="21">
        <v>5</v>
      </c>
      <c r="M139" s="38" t="s">
        <v>982</v>
      </c>
      <c r="N139" s="23" t="s">
        <v>983</v>
      </c>
    </row>
    <row r="140" spans="1:14" x14ac:dyDescent="0.25">
      <c r="A140" s="19" t="s">
        <v>918</v>
      </c>
      <c r="B140" s="19" t="s">
        <v>984</v>
      </c>
      <c r="C140" s="19" t="s">
        <v>937</v>
      </c>
      <c r="D140" s="37">
        <v>1</v>
      </c>
      <c r="E140" s="21">
        <v>5</v>
      </c>
      <c r="F140" s="21">
        <v>5</v>
      </c>
      <c r="G140" s="21">
        <v>1</v>
      </c>
      <c r="H140" s="21"/>
      <c r="I140" s="21">
        <v>3</v>
      </c>
      <c r="J140" s="21">
        <v>2</v>
      </c>
      <c r="K140" s="21" t="s">
        <v>17</v>
      </c>
      <c r="L140" s="21">
        <v>4</v>
      </c>
      <c r="M140" s="38" t="s">
        <v>985</v>
      </c>
      <c r="N140" s="23" t="s">
        <v>986</v>
      </c>
    </row>
    <row r="141" spans="1:14" x14ac:dyDescent="0.25">
      <c r="A141" s="19" t="s">
        <v>918</v>
      </c>
      <c r="B141" s="19" t="s">
        <v>984</v>
      </c>
      <c r="C141" s="19" t="s">
        <v>937</v>
      </c>
      <c r="D141" s="39" t="s">
        <v>15</v>
      </c>
      <c r="E141" s="21">
        <v>6</v>
      </c>
      <c r="F141" s="21">
        <v>6</v>
      </c>
      <c r="G141" s="21">
        <v>1</v>
      </c>
      <c r="H141" s="21"/>
      <c r="I141" s="21">
        <v>3</v>
      </c>
      <c r="J141" s="21">
        <v>2</v>
      </c>
      <c r="K141" s="21" t="s">
        <v>17</v>
      </c>
      <c r="L141" s="21">
        <v>4</v>
      </c>
      <c r="M141" s="38" t="s">
        <v>985</v>
      </c>
      <c r="N141" s="23" t="s">
        <v>986</v>
      </c>
    </row>
    <row r="142" spans="1:14" x14ac:dyDescent="0.25">
      <c r="A142" s="19" t="s">
        <v>918</v>
      </c>
      <c r="B142" s="19" t="s">
        <v>984</v>
      </c>
      <c r="C142" s="19" t="s">
        <v>937</v>
      </c>
      <c r="D142" s="37" t="s">
        <v>20</v>
      </c>
      <c r="E142" s="21">
        <v>7</v>
      </c>
      <c r="F142" s="21">
        <v>7</v>
      </c>
      <c r="G142" s="21">
        <v>2</v>
      </c>
      <c r="H142" s="21"/>
      <c r="I142" s="21">
        <v>3</v>
      </c>
      <c r="J142" s="21">
        <v>2</v>
      </c>
      <c r="K142" s="21" t="s">
        <v>17</v>
      </c>
      <c r="L142" s="21">
        <v>5</v>
      </c>
      <c r="M142" s="38" t="s">
        <v>985</v>
      </c>
      <c r="N142" s="23" t="s">
        <v>986</v>
      </c>
    </row>
    <row r="143" spans="1:14" x14ac:dyDescent="0.25">
      <c r="A143" s="19" t="s">
        <v>918</v>
      </c>
      <c r="B143" s="19" t="s">
        <v>984</v>
      </c>
      <c r="C143" s="19" t="s">
        <v>937</v>
      </c>
      <c r="D143" s="37" t="s">
        <v>786</v>
      </c>
      <c r="E143" s="21">
        <v>8</v>
      </c>
      <c r="F143" s="21">
        <v>8</v>
      </c>
      <c r="G143" s="21">
        <v>2</v>
      </c>
      <c r="H143" s="21"/>
      <c r="I143" s="21">
        <v>3</v>
      </c>
      <c r="J143" s="21">
        <v>2</v>
      </c>
      <c r="K143" s="21" t="s">
        <v>17</v>
      </c>
      <c r="L143" s="21">
        <v>5</v>
      </c>
      <c r="M143" s="38" t="s">
        <v>985</v>
      </c>
      <c r="N143" s="23" t="s">
        <v>986</v>
      </c>
    </row>
    <row r="144" spans="1:14" x14ac:dyDescent="0.25">
      <c r="A144" s="19" t="s">
        <v>918</v>
      </c>
      <c r="B144" s="19" t="s">
        <v>987</v>
      </c>
      <c r="C144" s="19" t="s">
        <v>937</v>
      </c>
      <c r="D144" s="37">
        <v>1</v>
      </c>
      <c r="E144" s="21">
        <v>4</v>
      </c>
      <c r="F144" s="21">
        <v>6</v>
      </c>
      <c r="G144" s="21">
        <v>3</v>
      </c>
      <c r="H144" s="21"/>
      <c r="I144" s="21">
        <v>3</v>
      </c>
      <c r="J144" s="21">
        <v>2</v>
      </c>
      <c r="K144" s="21" t="s">
        <v>17</v>
      </c>
      <c r="L144" s="21">
        <v>4</v>
      </c>
      <c r="M144" s="38" t="s">
        <v>988</v>
      </c>
      <c r="N144" s="23" t="s">
        <v>989</v>
      </c>
    </row>
    <row r="145" spans="1:14" x14ac:dyDescent="0.25">
      <c r="A145" s="19" t="s">
        <v>918</v>
      </c>
      <c r="B145" s="19" t="s">
        <v>987</v>
      </c>
      <c r="C145" s="19" t="s">
        <v>937</v>
      </c>
      <c r="D145" s="39" t="s">
        <v>15</v>
      </c>
      <c r="E145" s="21">
        <v>5</v>
      </c>
      <c r="F145" s="21">
        <v>7</v>
      </c>
      <c r="G145" s="21">
        <v>3</v>
      </c>
      <c r="H145" s="21"/>
      <c r="I145" s="21">
        <v>3</v>
      </c>
      <c r="J145" s="21">
        <v>2</v>
      </c>
      <c r="K145" s="21" t="s">
        <v>17</v>
      </c>
      <c r="L145" s="21">
        <v>4</v>
      </c>
      <c r="M145" s="38" t="s">
        <v>988</v>
      </c>
      <c r="N145" s="23" t="s">
        <v>989</v>
      </c>
    </row>
    <row r="146" spans="1:14" x14ac:dyDescent="0.25">
      <c r="A146" s="19" t="s">
        <v>918</v>
      </c>
      <c r="B146" s="19" t="s">
        <v>987</v>
      </c>
      <c r="C146" s="19" t="s">
        <v>937</v>
      </c>
      <c r="D146" s="37" t="s">
        <v>20</v>
      </c>
      <c r="E146" s="21">
        <v>6</v>
      </c>
      <c r="F146" s="21">
        <v>8</v>
      </c>
      <c r="G146" s="21">
        <v>4</v>
      </c>
      <c r="H146" s="21"/>
      <c r="I146" s="21">
        <v>3</v>
      </c>
      <c r="J146" s="21">
        <v>2</v>
      </c>
      <c r="K146" s="21" t="s">
        <v>17</v>
      </c>
      <c r="L146" s="21">
        <v>5</v>
      </c>
      <c r="M146" s="38" t="s">
        <v>988</v>
      </c>
      <c r="N146" s="23" t="s">
        <v>989</v>
      </c>
    </row>
    <row r="147" spans="1:14" x14ac:dyDescent="0.25">
      <c r="A147" s="19" t="s">
        <v>918</v>
      </c>
      <c r="B147" s="19" t="s">
        <v>987</v>
      </c>
      <c r="C147" s="19" t="s">
        <v>937</v>
      </c>
      <c r="D147" s="37" t="s">
        <v>786</v>
      </c>
      <c r="E147" s="21">
        <v>8</v>
      </c>
      <c r="F147" s="21">
        <v>8</v>
      </c>
      <c r="G147" s="21">
        <v>4</v>
      </c>
      <c r="H147" s="21"/>
      <c r="I147" s="21">
        <v>3</v>
      </c>
      <c r="J147" s="21">
        <v>2</v>
      </c>
      <c r="K147" s="21" t="s">
        <v>17</v>
      </c>
      <c r="L147" s="21">
        <v>5</v>
      </c>
      <c r="M147" s="38" t="s">
        <v>988</v>
      </c>
      <c r="N147" s="23" t="s">
        <v>989</v>
      </c>
    </row>
    <row r="148" spans="1:14" x14ac:dyDescent="0.25">
      <c r="A148" s="19" t="s">
        <v>292</v>
      </c>
      <c r="B148" s="19" t="s">
        <v>822</v>
      </c>
      <c r="C148" s="19" t="s">
        <v>785</v>
      </c>
      <c r="D148" s="37">
        <v>1</v>
      </c>
      <c r="E148" s="21">
        <v>2</v>
      </c>
      <c r="F148" s="21">
        <v>3</v>
      </c>
      <c r="G148" s="21">
        <v>1</v>
      </c>
      <c r="H148" s="21"/>
      <c r="I148" s="21">
        <v>1</v>
      </c>
      <c r="J148" s="21">
        <v>1</v>
      </c>
      <c r="K148" s="21" t="s">
        <v>18</v>
      </c>
      <c r="L148" s="21">
        <v>2</v>
      </c>
      <c r="M148" s="38" t="s">
        <v>823</v>
      </c>
      <c r="N148" s="23" t="s">
        <v>824</v>
      </c>
    </row>
    <row r="149" spans="1:14" x14ac:dyDescent="0.25">
      <c r="A149" s="19" t="s">
        <v>292</v>
      </c>
      <c r="B149" s="19" t="s">
        <v>822</v>
      </c>
      <c r="C149" s="19" t="s">
        <v>785</v>
      </c>
      <c r="D149" s="39" t="s">
        <v>15</v>
      </c>
      <c r="E149" s="21">
        <v>3</v>
      </c>
      <c r="F149" s="21">
        <v>4</v>
      </c>
      <c r="G149" s="21">
        <v>1</v>
      </c>
      <c r="H149" s="21"/>
      <c r="I149" s="21">
        <v>1</v>
      </c>
      <c r="J149" s="21">
        <v>1</v>
      </c>
      <c r="K149" s="21" t="s">
        <v>18</v>
      </c>
      <c r="L149" s="21">
        <v>2</v>
      </c>
      <c r="M149" s="38" t="s">
        <v>823</v>
      </c>
      <c r="N149" s="23" t="s">
        <v>824</v>
      </c>
    </row>
    <row r="150" spans="1:14" x14ac:dyDescent="0.25">
      <c r="A150" s="19" t="s">
        <v>292</v>
      </c>
      <c r="B150" s="19" t="s">
        <v>822</v>
      </c>
      <c r="C150" s="19" t="s">
        <v>785</v>
      </c>
      <c r="D150" s="37" t="s">
        <v>20</v>
      </c>
      <c r="E150" s="21">
        <v>4</v>
      </c>
      <c r="F150" s="21">
        <v>5</v>
      </c>
      <c r="G150" s="21">
        <v>2</v>
      </c>
      <c r="H150" s="21"/>
      <c r="I150" s="21">
        <v>1</v>
      </c>
      <c r="J150" s="21">
        <v>1</v>
      </c>
      <c r="K150" s="21" t="s">
        <v>18</v>
      </c>
      <c r="L150" s="21">
        <v>3</v>
      </c>
      <c r="M150" s="38" t="s">
        <v>823</v>
      </c>
      <c r="N150" s="23" t="s">
        <v>824</v>
      </c>
    </row>
    <row r="151" spans="1:14" x14ac:dyDescent="0.25">
      <c r="A151" s="19" t="s">
        <v>292</v>
      </c>
      <c r="B151" s="19" t="s">
        <v>822</v>
      </c>
      <c r="C151" s="19" t="s">
        <v>785</v>
      </c>
      <c r="D151" s="37" t="s">
        <v>786</v>
      </c>
      <c r="E151" s="21">
        <v>5</v>
      </c>
      <c r="F151" s="21">
        <v>6</v>
      </c>
      <c r="G151" s="21">
        <v>2</v>
      </c>
      <c r="H151" s="21"/>
      <c r="I151" s="21">
        <v>1</v>
      </c>
      <c r="J151" s="21">
        <v>1</v>
      </c>
      <c r="K151" s="21" t="s">
        <v>18</v>
      </c>
      <c r="L151" s="21">
        <v>3</v>
      </c>
      <c r="M151" s="38" t="s">
        <v>823</v>
      </c>
      <c r="N151" s="23" t="s">
        <v>824</v>
      </c>
    </row>
    <row r="152" spans="1:14" x14ac:dyDescent="0.25">
      <c r="A152" s="19" t="s">
        <v>292</v>
      </c>
      <c r="B152" s="19" t="s">
        <v>968</v>
      </c>
      <c r="C152" s="19" t="s">
        <v>930</v>
      </c>
      <c r="D152" s="37">
        <v>1</v>
      </c>
      <c r="E152" s="21">
        <v>2</v>
      </c>
      <c r="F152" s="21">
        <v>4</v>
      </c>
      <c r="G152" s="21">
        <v>2</v>
      </c>
      <c r="H152" s="21"/>
      <c r="I152" s="21">
        <v>2</v>
      </c>
      <c r="J152" s="21">
        <v>2</v>
      </c>
      <c r="K152" s="21" t="s">
        <v>17</v>
      </c>
      <c r="L152" s="21">
        <v>3</v>
      </c>
      <c r="M152" s="38" t="s">
        <v>965</v>
      </c>
      <c r="N152" s="23" t="s">
        <v>966</v>
      </c>
    </row>
    <row r="153" spans="1:14" x14ac:dyDescent="0.25">
      <c r="A153" s="19" t="s">
        <v>292</v>
      </c>
      <c r="B153" s="19" t="s">
        <v>968</v>
      </c>
      <c r="C153" s="19" t="s">
        <v>930</v>
      </c>
      <c r="D153" s="39" t="s">
        <v>15</v>
      </c>
      <c r="E153" s="21">
        <v>3</v>
      </c>
      <c r="F153" s="21">
        <v>5</v>
      </c>
      <c r="G153" s="21">
        <v>2</v>
      </c>
      <c r="H153" s="21"/>
      <c r="I153" s="21">
        <v>2</v>
      </c>
      <c r="J153" s="21">
        <v>2</v>
      </c>
      <c r="K153" s="21" t="s">
        <v>17</v>
      </c>
      <c r="L153" s="21">
        <v>3</v>
      </c>
      <c r="M153" s="38" t="s">
        <v>965</v>
      </c>
      <c r="N153" s="23" t="s">
        <v>966</v>
      </c>
    </row>
    <row r="154" spans="1:14" x14ac:dyDescent="0.25">
      <c r="A154" s="19" t="s">
        <v>292</v>
      </c>
      <c r="B154" s="19" t="s">
        <v>968</v>
      </c>
      <c r="C154" s="19" t="s">
        <v>930</v>
      </c>
      <c r="D154" s="37" t="s">
        <v>20</v>
      </c>
      <c r="E154" s="21">
        <v>4</v>
      </c>
      <c r="F154" s="21">
        <v>6</v>
      </c>
      <c r="G154" s="21">
        <v>2</v>
      </c>
      <c r="H154" s="21"/>
      <c r="I154" s="21">
        <v>2</v>
      </c>
      <c r="J154" s="21">
        <v>2</v>
      </c>
      <c r="K154" s="21" t="s">
        <v>17</v>
      </c>
      <c r="L154" s="21">
        <v>4</v>
      </c>
      <c r="M154" s="38" t="s">
        <v>965</v>
      </c>
      <c r="N154" s="23" t="s">
        <v>966</v>
      </c>
    </row>
    <row r="155" spans="1:14" x14ac:dyDescent="0.25">
      <c r="A155" s="19" t="s">
        <v>292</v>
      </c>
      <c r="B155" s="19" t="s">
        <v>968</v>
      </c>
      <c r="C155" s="19" t="s">
        <v>930</v>
      </c>
      <c r="D155" s="37" t="s">
        <v>786</v>
      </c>
      <c r="E155" s="21">
        <v>6</v>
      </c>
      <c r="F155" s="21">
        <v>7</v>
      </c>
      <c r="G155" s="21">
        <v>2</v>
      </c>
      <c r="H155" s="21"/>
      <c r="I155" s="21">
        <v>2</v>
      </c>
      <c r="J155" s="21">
        <v>2</v>
      </c>
      <c r="K155" s="21" t="s">
        <v>17</v>
      </c>
      <c r="L155" s="21">
        <v>4</v>
      </c>
      <c r="M155" s="38" t="s">
        <v>965</v>
      </c>
      <c r="N155" s="23" t="s">
        <v>966</v>
      </c>
    </row>
    <row r="156" spans="1:14" x14ac:dyDescent="0.25">
      <c r="A156" s="19" t="s">
        <v>292</v>
      </c>
      <c r="B156" s="19" t="s">
        <v>967</v>
      </c>
      <c r="C156" s="19" t="s">
        <v>930</v>
      </c>
      <c r="D156" s="37">
        <v>1</v>
      </c>
      <c r="E156" s="21">
        <v>3</v>
      </c>
      <c r="F156" s="21">
        <v>4</v>
      </c>
      <c r="G156" s="21">
        <v>1</v>
      </c>
      <c r="H156" s="21"/>
      <c r="I156" s="21">
        <v>2</v>
      </c>
      <c r="J156" s="21">
        <v>2</v>
      </c>
      <c r="K156" s="21" t="s">
        <v>18</v>
      </c>
      <c r="L156" s="21">
        <v>4</v>
      </c>
      <c r="M156" s="38" t="s">
        <v>969</v>
      </c>
      <c r="N156" s="23" t="s">
        <v>970</v>
      </c>
    </row>
    <row r="157" spans="1:14" x14ac:dyDescent="0.25">
      <c r="A157" s="19" t="s">
        <v>292</v>
      </c>
      <c r="B157" s="19" t="s">
        <v>967</v>
      </c>
      <c r="C157" s="19" t="s">
        <v>930</v>
      </c>
      <c r="D157" s="39" t="s">
        <v>15</v>
      </c>
      <c r="E157" s="21">
        <v>4</v>
      </c>
      <c r="F157" s="21">
        <v>5</v>
      </c>
      <c r="G157" s="21">
        <v>1</v>
      </c>
      <c r="H157" s="21"/>
      <c r="I157" s="21">
        <v>2</v>
      </c>
      <c r="J157" s="21">
        <v>2</v>
      </c>
      <c r="K157" s="21" t="s">
        <v>18</v>
      </c>
      <c r="L157" s="21">
        <v>4</v>
      </c>
      <c r="M157" s="38" t="s">
        <v>969</v>
      </c>
      <c r="N157" s="23" t="s">
        <v>970</v>
      </c>
    </row>
    <row r="158" spans="1:14" x14ac:dyDescent="0.25">
      <c r="A158" s="19" t="s">
        <v>292</v>
      </c>
      <c r="B158" s="19" t="s">
        <v>967</v>
      </c>
      <c r="C158" s="19" t="s">
        <v>930</v>
      </c>
      <c r="D158" s="37" t="s">
        <v>20</v>
      </c>
      <c r="E158" s="21">
        <v>5</v>
      </c>
      <c r="F158" s="21">
        <v>6</v>
      </c>
      <c r="G158" s="21">
        <v>2</v>
      </c>
      <c r="H158" s="21"/>
      <c r="I158" s="21">
        <v>2</v>
      </c>
      <c r="J158" s="21">
        <v>2</v>
      </c>
      <c r="K158" s="21" t="s">
        <v>18</v>
      </c>
      <c r="L158" s="21">
        <v>5</v>
      </c>
      <c r="M158" s="38" t="s">
        <v>969</v>
      </c>
      <c r="N158" s="23" t="s">
        <v>970</v>
      </c>
    </row>
    <row r="159" spans="1:14" x14ac:dyDescent="0.25">
      <c r="A159" s="19" t="s">
        <v>292</v>
      </c>
      <c r="B159" s="19" t="s">
        <v>967</v>
      </c>
      <c r="C159" s="19" t="s">
        <v>930</v>
      </c>
      <c r="D159" s="37" t="s">
        <v>786</v>
      </c>
      <c r="E159" s="21">
        <v>7</v>
      </c>
      <c r="F159" s="21">
        <v>7</v>
      </c>
      <c r="G159" s="21">
        <v>2</v>
      </c>
      <c r="H159" s="21"/>
      <c r="I159" s="21">
        <v>2</v>
      </c>
      <c r="J159" s="21">
        <v>2</v>
      </c>
      <c r="K159" s="21" t="s">
        <v>18</v>
      </c>
      <c r="L159" s="21">
        <v>5</v>
      </c>
      <c r="M159" s="38" t="s">
        <v>969</v>
      </c>
      <c r="N159" s="23" t="s">
        <v>970</v>
      </c>
    </row>
    <row r="160" spans="1:14" x14ac:dyDescent="0.25">
      <c r="A160" s="19" t="s">
        <v>292</v>
      </c>
      <c r="B160" s="19" t="s">
        <v>876</v>
      </c>
      <c r="C160" s="19" t="s">
        <v>937</v>
      </c>
      <c r="D160" s="37">
        <v>1</v>
      </c>
      <c r="E160" s="21">
        <v>3</v>
      </c>
      <c r="F160" s="21">
        <v>4</v>
      </c>
      <c r="G160" s="21"/>
      <c r="H160" s="21"/>
      <c r="I160" s="21">
        <v>2</v>
      </c>
      <c r="J160" s="21">
        <v>2</v>
      </c>
      <c r="K160" s="21" t="s">
        <v>18</v>
      </c>
      <c r="L160" s="21">
        <v>3</v>
      </c>
      <c r="M160" s="38" t="s">
        <v>971</v>
      </c>
      <c r="N160" s="23" t="s">
        <v>972</v>
      </c>
    </row>
    <row r="161" spans="1:14" x14ac:dyDescent="0.25">
      <c r="A161" s="19" t="s">
        <v>292</v>
      </c>
      <c r="B161" s="19" t="s">
        <v>876</v>
      </c>
      <c r="C161" s="19" t="s">
        <v>937</v>
      </c>
      <c r="D161" s="39" t="s">
        <v>15</v>
      </c>
      <c r="E161" s="21">
        <v>4</v>
      </c>
      <c r="F161" s="21">
        <v>5</v>
      </c>
      <c r="G161" s="21"/>
      <c r="H161" s="21"/>
      <c r="I161" s="21">
        <v>2</v>
      </c>
      <c r="J161" s="21">
        <v>2</v>
      </c>
      <c r="K161" s="21" t="s">
        <v>18</v>
      </c>
      <c r="L161" s="21">
        <v>3</v>
      </c>
      <c r="M161" s="38" t="s">
        <v>971</v>
      </c>
      <c r="N161" s="23" t="s">
        <v>972</v>
      </c>
    </row>
    <row r="162" spans="1:14" x14ac:dyDescent="0.25">
      <c r="A162" s="19" t="s">
        <v>292</v>
      </c>
      <c r="B162" s="19" t="s">
        <v>876</v>
      </c>
      <c r="C162" s="19" t="s">
        <v>937</v>
      </c>
      <c r="D162" s="37" t="s">
        <v>20</v>
      </c>
      <c r="E162" s="21">
        <v>5</v>
      </c>
      <c r="F162" s="21">
        <v>6</v>
      </c>
      <c r="G162" s="21"/>
      <c r="H162" s="21"/>
      <c r="I162" s="21">
        <v>2</v>
      </c>
      <c r="J162" s="21">
        <v>2</v>
      </c>
      <c r="K162" s="21" t="s">
        <v>18</v>
      </c>
      <c r="L162" s="21">
        <v>3</v>
      </c>
      <c r="M162" s="38" t="s">
        <v>971</v>
      </c>
      <c r="N162" s="23" t="s">
        <v>972</v>
      </c>
    </row>
    <row r="163" spans="1:14" x14ac:dyDescent="0.25">
      <c r="A163" s="19" t="s">
        <v>292</v>
      </c>
      <c r="B163" s="19" t="s">
        <v>876</v>
      </c>
      <c r="C163" s="19" t="s">
        <v>937</v>
      </c>
      <c r="D163" s="37" t="s">
        <v>786</v>
      </c>
      <c r="E163" s="21">
        <v>6</v>
      </c>
      <c r="F163" s="21">
        <v>7</v>
      </c>
      <c r="G163" s="21"/>
      <c r="H163" s="21"/>
      <c r="I163" s="21">
        <v>2</v>
      </c>
      <c r="J163" s="21">
        <v>2</v>
      </c>
      <c r="K163" s="21" t="s">
        <v>18</v>
      </c>
      <c r="L163" s="21">
        <v>4</v>
      </c>
      <c r="M163" s="38" t="s">
        <v>971</v>
      </c>
      <c r="N163" s="23" t="s">
        <v>972</v>
      </c>
    </row>
    <row r="164" spans="1:14" ht="30" x14ac:dyDescent="0.25">
      <c r="A164" s="19" t="s">
        <v>292</v>
      </c>
      <c r="B164" s="19" t="s">
        <v>973</v>
      </c>
      <c r="C164" s="19" t="s">
        <v>77</v>
      </c>
      <c r="D164" s="37">
        <v>1</v>
      </c>
      <c r="E164" s="21">
        <v>4</v>
      </c>
      <c r="F164" s="21">
        <v>7</v>
      </c>
      <c r="G164" s="21"/>
      <c r="H164" s="21"/>
      <c r="I164" s="21">
        <v>3</v>
      </c>
      <c r="J164" s="21">
        <v>1</v>
      </c>
      <c r="K164" s="21" t="s">
        <v>17</v>
      </c>
      <c r="L164" s="21">
        <v>3</v>
      </c>
      <c r="M164" s="38" t="s">
        <v>974</v>
      </c>
      <c r="N164" s="23" t="s">
        <v>1982</v>
      </c>
    </row>
    <row r="165" spans="1:14" ht="30" x14ac:dyDescent="0.25">
      <c r="A165" s="19" t="s">
        <v>292</v>
      </c>
      <c r="B165" s="19" t="s">
        <v>973</v>
      </c>
      <c r="C165" s="19" t="s">
        <v>77</v>
      </c>
      <c r="D165" s="39" t="s">
        <v>15</v>
      </c>
      <c r="E165" s="21">
        <v>6</v>
      </c>
      <c r="F165" s="21">
        <v>8</v>
      </c>
      <c r="G165" s="21"/>
      <c r="H165" s="21"/>
      <c r="I165" s="21">
        <v>3</v>
      </c>
      <c r="J165" s="21">
        <v>1</v>
      </c>
      <c r="K165" s="21" t="s">
        <v>17</v>
      </c>
      <c r="L165" s="21">
        <v>4</v>
      </c>
      <c r="M165" s="38" t="s">
        <v>974</v>
      </c>
      <c r="N165" s="23" t="s">
        <v>1982</v>
      </c>
    </row>
    <row r="166" spans="1:14" ht="30" x14ac:dyDescent="0.25">
      <c r="A166" s="19" t="s">
        <v>292</v>
      </c>
      <c r="B166" s="19" t="s">
        <v>973</v>
      </c>
      <c r="C166" s="19" t="s">
        <v>77</v>
      </c>
      <c r="D166" s="37" t="s">
        <v>20</v>
      </c>
      <c r="E166" s="21">
        <v>7</v>
      </c>
      <c r="F166" s="21">
        <v>9</v>
      </c>
      <c r="G166" s="21">
        <v>2</v>
      </c>
      <c r="H166" s="21"/>
      <c r="I166" s="21">
        <v>3</v>
      </c>
      <c r="J166" s="21">
        <v>1</v>
      </c>
      <c r="K166" s="21" t="s">
        <v>17</v>
      </c>
      <c r="L166" s="21">
        <v>4</v>
      </c>
      <c r="M166" s="38" t="s">
        <v>974</v>
      </c>
      <c r="N166" s="23" t="s">
        <v>1982</v>
      </c>
    </row>
    <row r="167" spans="1:14" ht="30" x14ac:dyDescent="0.25">
      <c r="A167" s="19" t="s">
        <v>292</v>
      </c>
      <c r="B167" s="19" t="s">
        <v>973</v>
      </c>
      <c r="C167" s="19" t="s">
        <v>77</v>
      </c>
      <c r="D167" s="37" t="s">
        <v>786</v>
      </c>
      <c r="E167" s="21">
        <v>12</v>
      </c>
      <c r="F167" s="21"/>
      <c r="G167" s="21">
        <v>3</v>
      </c>
      <c r="H167" s="21"/>
      <c r="I167" s="21">
        <v>4</v>
      </c>
      <c r="J167" s="21">
        <v>1</v>
      </c>
      <c r="K167" s="21" t="s">
        <v>17</v>
      </c>
      <c r="L167" s="21">
        <v>5</v>
      </c>
      <c r="M167" s="38" t="s">
        <v>974</v>
      </c>
      <c r="N167" s="23" t="s">
        <v>1982</v>
      </c>
    </row>
    <row r="168" spans="1:14" x14ac:dyDescent="0.25">
      <c r="A168" s="19" t="s">
        <v>702</v>
      </c>
      <c r="B168" s="19" t="s">
        <v>784</v>
      </c>
      <c r="C168" s="19" t="s">
        <v>785</v>
      </c>
      <c r="D168" s="37">
        <v>1</v>
      </c>
      <c r="E168" s="21">
        <v>2</v>
      </c>
      <c r="F168" s="21">
        <v>3</v>
      </c>
      <c r="G168" s="21">
        <v>1</v>
      </c>
      <c r="H168" s="21">
        <v>1</v>
      </c>
      <c r="I168" s="21">
        <v>1</v>
      </c>
      <c r="J168" s="21">
        <v>3</v>
      </c>
      <c r="K168" s="21" t="s">
        <v>18</v>
      </c>
      <c r="L168" s="21">
        <v>2</v>
      </c>
      <c r="M168" s="38" t="s">
        <v>791</v>
      </c>
      <c r="N168" s="23"/>
    </row>
    <row r="169" spans="1:14" x14ac:dyDescent="0.25">
      <c r="A169" s="19" t="s">
        <v>702</v>
      </c>
      <c r="B169" s="19" t="s">
        <v>784</v>
      </c>
      <c r="C169" s="19" t="s">
        <v>785</v>
      </c>
      <c r="D169" s="39" t="s">
        <v>15</v>
      </c>
      <c r="E169" s="21">
        <v>3</v>
      </c>
      <c r="F169" s="21">
        <v>4</v>
      </c>
      <c r="G169" s="21">
        <v>2</v>
      </c>
      <c r="H169" s="21">
        <v>1</v>
      </c>
      <c r="I169" s="21">
        <v>1</v>
      </c>
      <c r="J169" s="21">
        <v>3</v>
      </c>
      <c r="K169" s="21" t="s">
        <v>18</v>
      </c>
      <c r="L169" s="21">
        <v>3</v>
      </c>
      <c r="M169" s="38" t="s">
        <v>791</v>
      </c>
      <c r="N169" s="23"/>
    </row>
    <row r="170" spans="1:14" x14ac:dyDescent="0.25">
      <c r="A170" s="19" t="s">
        <v>702</v>
      </c>
      <c r="B170" s="19" t="s">
        <v>784</v>
      </c>
      <c r="C170" s="19" t="s">
        <v>785</v>
      </c>
      <c r="D170" s="37" t="s">
        <v>20</v>
      </c>
      <c r="E170" s="21">
        <v>4</v>
      </c>
      <c r="F170" s="21">
        <v>5</v>
      </c>
      <c r="G170" s="21">
        <v>2</v>
      </c>
      <c r="H170" s="21">
        <v>2</v>
      </c>
      <c r="I170" s="21">
        <v>1</v>
      </c>
      <c r="J170" s="21">
        <v>3</v>
      </c>
      <c r="K170" s="21" t="s">
        <v>18</v>
      </c>
      <c r="L170" s="21">
        <v>3</v>
      </c>
      <c r="M170" s="38" t="s">
        <v>791</v>
      </c>
      <c r="N170" s="23"/>
    </row>
    <row r="171" spans="1:14" x14ac:dyDescent="0.25">
      <c r="A171" s="19" t="s">
        <v>702</v>
      </c>
      <c r="B171" s="19" t="s">
        <v>784</v>
      </c>
      <c r="C171" s="19" t="s">
        <v>785</v>
      </c>
      <c r="D171" s="37" t="s">
        <v>786</v>
      </c>
      <c r="E171" s="21">
        <v>5</v>
      </c>
      <c r="F171" s="21">
        <v>6</v>
      </c>
      <c r="G171" s="21">
        <v>2</v>
      </c>
      <c r="H171" s="21">
        <v>3</v>
      </c>
      <c r="I171" s="21">
        <v>1</v>
      </c>
      <c r="J171" s="21">
        <v>3</v>
      </c>
      <c r="K171" s="21" t="s">
        <v>18</v>
      </c>
      <c r="L171" s="21">
        <v>4</v>
      </c>
      <c r="M171" s="38" t="s">
        <v>791</v>
      </c>
      <c r="N171" s="23"/>
    </row>
    <row r="172" spans="1:14" x14ac:dyDescent="0.25">
      <c r="A172" s="19" t="s">
        <v>702</v>
      </c>
      <c r="B172" s="19" t="s">
        <v>787</v>
      </c>
      <c r="C172" s="19" t="s">
        <v>77</v>
      </c>
      <c r="D172" s="37">
        <v>1</v>
      </c>
      <c r="E172" s="21">
        <v>6</v>
      </c>
      <c r="F172" s="21">
        <v>6</v>
      </c>
      <c r="G172" s="21">
        <v>1</v>
      </c>
      <c r="H172" s="21"/>
      <c r="I172" s="21">
        <v>3</v>
      </c>
      <c r="J172" s="21">
        <v>2</v>
      </c>
      <c r="K172" s="21" t="s">
        <v>17</v>
      </c>
      <c r="L172" s="21">
        <v>4</v>
      </c>
      <c r="M172" s="38" t="s">
        <v>792</v>
      </c>
      <c r="N172" s="23" t="s">
        <v>788</v>
      </c>
    </row>
    <row r="173" spans="1:14" x14ac:dyDescent="0.25">
      <c r="A173" s="19" t="s">
        <v>702</v>
      </c>
      <c r="B173" s="19" t="s">
        <v>787</v>
      </c>
      <c r="C173" s="19" t="s">
        <v>77</v>
      </c>
      <c r="D173" s="39" t="s">
        <v>15</v>
      </c>
      <c r="E173" s="21">
        <v>7</v>
      </c>
      <c r="F173" s="21">
        <v>7</v>
      </c>
      <c r="G173" s="21">
        <v>2</v>
      </c>
      <c r="H173" s="21"/>
      <c r="I173" s="21">
        <v>3</v>
      </c>
      <c r="J173" s="21">
        <v>2</v>
      </c>
      <c r="K173" s="21" t="s">
        <v>17</v>
      </c>
      <c r="L173" s="21">
        <v>5</v>
      </c>
      <c r="M173" s="38" t="s">
        <v>792</v>
      </c>
      <c r="N173" s="23" t="s">
        <v>788</v>
      </c>
    </row>
    <row r="174" spans="1:14" x14ac:dyDescent="0.25">
      <c r="A174" s="19" t="s">
        <v>702</v>
      </c>
      <c r="B174" s="19" t="s">
        <v>787</v>
      </c>
      <c r="C174" s="19" t="s">
        <v>77</v>
      </c>
      <c r="D174" s="37" t="s">
        <v>20</v>
      </c>
      <c r="E174" s="21">
        <v>8</v>
      </c>
      <c r="F174" s="21">
        <v>8</v>
      </c>
      <c r="G174" s="21">
        <v>3</v>
      </c>
      <c r="H174" s="21"/>
      <c r="I174" s="21">
        <v>3</v>
      </c>
      <c r="J174" s="21">
        <v>2</v>
      </c>
      <c r="K174" s="21" t="s">
        <v>17</v>
      </c>
      <c r="L174" s="21">
        <v>5</v>
      </c>
      <c r="M174" s="38" t="s">
        <v>792</v>
      </c>
      <c r="N174" s="23" t="s">
        <v>788</v>
      </c>
    </row>
    <row r="175" spans="1:14" x14ac:dyDescent="0.25">
      <c r="A175" s="19" t="s">
        <v>702</v>
      </c>
      <c r="B175" s="19" t="s">
        <v>787</v>
      </c>
      <c r="C175" s="19" t="s">
        <v>77</v>
      </c>
      <c r="D175" s="37" t="s">
        <v>786</v>
      </c>
      <c r="E175" s="21">
        <v>13</v>
      </c>
      <c r="F175" s="21"/>
      <c r="G175" s="21">
        <v>5</v>
      </c>
      <c r="H175" s="21"/>
      <c r="I175" s="21">
        <v>4</v>
      </c>
      <c r="J175" s="21">
        <v>2</v>
      </c>
      <c r="K175" s="21" t="s">
        <v>17</v>
      </c>
      <c r="L175" s="21">
        <v>6</v>
      </c>
      <c r="M175" s="38" t="s">
        <v>792</v>
      </c>
      <c r="N175" s="23" t="s">
        <v>789</v>
      </c>
    </row>
    <row r="176" spans="1:14" x14ac:dyDescent="0.25">
      <c r="A176" s="19" t="s">
        <v>1810</v>
      </c>
      <c r="B176" s="19" t="s">
        <v>1945</v>
      </c>
      <c r="C176" s="19" t="s">
        <v>930</v>
      </c>
      <c r="D176" s="37">
        <v>1</v>
      </c>
      <c r="E176" s="21">
        <v>3</v>
      </c>
      <c r="F176" s="21">
        <v>3</v>
      </c>
      <c r="G176" s="21"/>
      <c r="H176" s="21"/>
      <c r="I176" s="21">
        <v>2</v>
      </c>
      <c r="J176" s="21">
        <v>1</v>
      </c>
      <c r="K176" s="21" t="s">
        <v>17</v>
      </c>
      <c r="L176" s="21">
        <v>3</v>
      </c>
      <c r="M176" s="38" t="s">
        <v>1946</v>
      </c>
      <c r="N176" s="23" t="s">
        <v>1947</v>
      </c>
    </row>
    <row r="177" spans="1:14" x14ac:dyDescent="0.25">
      <c r="A177" s="19" t="s">
        <v>1810</v>
      </c>
      <c r="B177" s="19" t="s">
        <v>1945</v>
      </c>
      <c r="C177" s="19" t="s">
        <v>930</v>
      </c>
      <c r="D177" s="39" t="s">
        <v>15</v>
      </c>
      <c r="E177" s="21">
        <v>4</v>
      </c>
      <c r="F177" s="21">
        <v>4</v>
      </c>
      <c r="G177" s="21"/>
      <c r="H177" s="21"/>
      <c r="I177" s="21">
        <v>2</v>
      </c>
      <c r="J177" s="21">
        <v>1</v>
      </c>
      <c r="K177" s="21" t="s">
        <v>17</v>
      </c>
      <c r="L177" s="21">
        <v>3</v>
      </c>
      <c r="M177" s="38" t="s">
        <v>1946</v>
      </c>
      <c r="N177" s="23" t="s">
        <v>1947</v>
      </c>
    </row>
    <row r="178" spans="1:14" x14ac:dyDescent="0.25">
      <c r="A178" s="19" t="s">
        <v>1810</v>
      </c>
      <c r="B178" s="19" t="s">
        <v>1945</v>
      </c>
      <c r="C178" s="19" t="s">
        <v>930</v>
      </c>
      <c r="D178" s="37" t="s">
        <v>20</v>
      </c>
      <c r="E178" s="21">
        <v>5</v>
      </c>
      <c r="F178" s="21">
        <v>5</v>
      </c>
      <c r="G178" s="21"/>
      <c r="H178" s="21"/>
      <c r="I178" s="21">
        <v>2</v>
      </c>
      <c r="J178" s="21">
        <v>1</v>
      </c>
      <c r="K178" s="21" t="s">
        <v>17</v>
      </c>
      <c r="L178" s="21">
        <v>4</v>
      </c>
      <c r="M178" s="38" t="s">
        <v>1946</v>
      </c>
      <c r="N178" s="23" t="s">
        <v>1947</v>
      </c>
    </row>
    <row r="179" spans="1:14" x14ac:dyDescent="0.25">
      <c r="A179" s="19" t="s">
        <v>1810</v>
      </c>
      <c r="B179" s="19" t="s">
        <v>1945</v>
      </c>
      <c r="C179" s="19" t="s">
        <v>930</v>
      </c>
      <c r="D179" s="37" t="s">
        <v>786</v>
      </c>
      <c r="E179" s="21">
        <v>6</v>
      </c>
      <c r="F179" s="21">
        <v>6</v>
      </c>
      <c r="G179" s="21"/>
      <c r="H179" s="21"/>
      <c r="I179" s="21">
        <v>2</v>
      </c>
      <c r="J179" s="21">
        <v>1</v>
      </c>
      <c r="K179" s="21" t="s">
        <v>17</v>
      </c>
      <c r="L179" s="21">
        <v>4</v>
      </c>
      <c r="M179" s="38" t="s">
        <v>1946</v>
      </c>
      <c r="N179" s="23" t="s">
        <v>1947</v>
      </c>
    </row>
    <row r="180" spans="1:14" x14ac:dyDescent="0.25">
      <c r="A180" s="19" t="s">
        <v>1810</v>
      </c>
      <c r="B180" s="19" t="s">
        <v>1802</v>
      </c>
      <c r="C180" s="19" t="s">
        <v>937</v>
      </c>
      <c r="D180" s="37">
        <v>1</v>
      </c>
      <c r="E180" s="21">
        <v>4</v>
      </c>
      <c r="F180" s="21">
        <v>6</v>
      </c>
      <c r="G180" s="21">
        <v>2</v>
      </c>
      <c r="H180" s="21"/>
      <c r="I180" s="21">
        <v>3</v>
      </c>
      <c r="J180" s="21">
        <v>3</v>
      </c>
      <c r="K180" s="21" t="s">
        <v>18</v>
      </c>
      <c r="L180" s="21">
        <v>3</v>
      </c>
      <c r="M180" s="38" t="s">
        <v>1948</v>
      </c>
      <c r="N180" s="23" t="s">
        <v>1949</v>
      </c>
    </row>
    <row r="181" spans="1:14" x14ac:dyDescent="0.25">
      <c r="A181" s="19" t="s">
        <v>1810</v>
      </c>
      <c r="B181" s="19" t="s">
        <v>1802</v>
      </c>
      <c r="C181" s="19" t="s">
        <v>937</v>
      </c>
      <c r="D181" s="39" t="s">
        <v>15</v>
      </c>
      <c r="E181" s="21">
        <v>5</v>
      </c>
      <c r="F181" s="21">
        <v>7</v>
      </c>
      <c r="G181" s="21">
        <v>2</v>
      </c>
      <c r="H181" s="21"/>
      <c r="I181" s="21">
        <v>3</v>
      </c>
      <c r="J181" s="21">
        <v>3</v>
      </c>
      <c r="K181" s="21" t="s">
        <v>18</v>
      </c>
      <c r="L181" s="21">
        <v>3</v>
      </c>
      <c r="M181" s="38" t="s">
        <v>1948</v>
      </c>
      <c r="N181" s="23" t="s">
        <v>1949</v>
      </c>
    </row>
    <row r="182" spans="1:14" x14ac:dyDescent="0.25">
      <c r="A182" s="19" t="s">
        <v>1810</v>
      </c>
      <c r="B182" s="19" t="s">
        <v>1802</v>
      </c>
      <c r="C182" s="19" t="s">
        <v>937</v>
      </c>
      <c r="D182" s="37" t="s">
        <v>20</v>
      </c>
      <c r="E182" s="21">
        <v>6</v>
      </c>
      <c r="F182" s="21">
        <v>8</v>
      </c>
      <c r="G182" s="21">
        <v>3</v>
      </c>
      <c r="H182" s="21"/>
      <c r="I182" s="21">
        <v>3</v>
      </c>
      <c r="J182" s="21">
        <v>3</v>
      </c>
      <c r="K182" s="21" t="s">
        <v>18</v>
      </c>
      <c r="L182" s="21">
        <v>4</v>
      </c>
      <c r="M182" s="38" t="s">
        <v>1948</v>
      </c>
      <c r="N182" s="23" t="s">
        <v>1949</v>
      </c>
    </row>
    <row r="183" spans="1:14" x14ac:dyDescent="0.25">
      <c r="A183" s="19" t="s">
        <v>1810</v>
      </c>
      <c r="B183" s="19" t="s">
        <v>1802</v>
      </c>
      <c r="C183" s="19" t="s">
        <v>937</v>
      </c>
      <c r="D183" s="37" t="s">
        <v>786</v>
      </c>
      <c r="E183" s="21">
        <v>8</v>
      </c>
      <c r="F183" s="21">
        <v>9</v>
      </c>
      <c r="G183" s="21">
        <v>3</v>
      </c>
      <c r="H183" s="21"/>
      <c r="I183" s="21">
        <v>3</v>
      </c>
      <c r="J183" s="21">
        <v>3</v>
      </c>
      <c r="K183" s="21" t="s">
        <v>18</v>
      </c>
      <c r="L183" s="21">
        <v>5</v>
      </c>
      <c r="M183" s="38" t="s">
        <v>1948</v>
      </c>
      <c r="N183" s="23" t="s">
        <v>1949</v>
      </c>
    </row>
    <row r="184" spans="1:14" ht="30" x14ac:dyDescent="0.25">
      <c r="A184" s="19" t="s">
        <v>1810</v>
      </c>
      <c r="B184" s="19" t="s">
        <v>1810</v>
      </c>
      <c r="C184" s="19" t="s">
        <v>77</v>
      </c>
      <c r="D184" s="37">
        <v>1</v>
      </c>
      <c r="E184" s="21">
        <v>5</v>
      </c>
      <c r="F184" s="21">
        <v>6</v>
      </c>
      <c r="G184" s="21"/>
      <c r="H184" s="21"/>
      <c r="I184" s="21">
        <v>3</v>
      </c>
      <c r="J184" s="21">
        <v>1</v>
      </c>
      <c r="K184" s="21" t="s">
        <v>17</v>
      </c>
      <c r="L184" s="21">
        <v>4</v>
      </c>
      <c r="M184" s="38" t="s">
        <v>1950</v>
      </c>
      <c r="N184" s="23" t="s">
        <v>1951</v>
      </c>
    </row>
    <row r="185" spans="1:14" ht="30" x14ac:dyDescent="0.25">
      <c r="A185" s="19" t="s">
        <v>1810</v>
      </c>
      <c r="B185" s="19" t="s">
        <v>1810</v>
      </c>
      <c r="C185" s="19" t="s">
        <v>77</v>
      </c>
      <c r="D185" s="39" t="s">
        <v>15</v>
      </c>
      <c r="E185" s="21">
        <v>6</v>
      </c>
      <c r="F185" s="21">
        <v>7</v>
      </c>
      <c r="G185" s="21"/>
      <c r="H185" s="21"/>
      <c r="I185" s="21">
        <v>3</v>
      </c>
      <c r="J185" s="21">
        <v>1</v>
      </c>
      <c r="K185" s="21" t="s">
        <v>17</v>
      </c>
      <c r="L185" s="21">
        <v>4</v>
      </c>
      <c r="M185" s="38" t="s">
        <v>1950</v>
      </c>
      <c r="N185" s="23" t="s">
        <v>1951</v>
      </c>
    </row>
    <row r="186" spans="1:14" ht="30" x14ac:dyDescent="0.25">
      <c r="A186" s="19" t="s">
        <v>1810</v>
      </c>
      <c r="B186" s="19" t="s">
        <v>1810</v>
      </c>
      <c r="C186" s="19" t="s">
        <v>77</v>
      </c>
      <c r="D186" s="37" t="s">
        <v>20</v>
      </c>
      <c r="E186" s="21">
        <v>7</v>
      </c>
      <c r="F186" s="21">
        <v>8</v>
      </c>
      <c r="G186" s="21"/>
      <c r="H186" s="21"/>
      <c r="I186" s="21">
        <v>3</v>
      </c>
      <c r="J186" s="21">
        <v>1</v>
      </c>
      <c r="K186" s="21" t="s">
        <v>17</v>
      </c>
      <c r="L186" s="21">
        <v>5</v>
      </c>
      <c r="M186" s="38" t="s">
        <v>1950</v>
      </c>
      <c r="N186" s="23" t="s">
        <v>1951</v>
      </c>
    </row>
    <row r="187" spans="1:14" ht="30" x14ac:dyDescent="0.25">
      <c r="A187" s="19" t="s">
        <v>1810</v>
      </c>
      <c r="B187" s="19" t="s">
        <v>1810</v>
      </c>
      <c r="C187" s="19" t="s">
        <v>77</v>
      </c>
      <c r="D187" s="37" t="s">
        <v>786</v>
      </c>
      <c r="E187" s="21">
        <v>12</v>
      </c>
      <c r="F187" s="21">
        <v>3</v>
      </c>
      <c r="G187" s="21"/>
      <c r="H187" s="21"/>
      <c r="I187" s="21">
        <v>4</v>
      </c>
      <c r="J187" s="21">
        <v>1</v>
      </c>
      <c r="K187" s="21" t="s">
        <v>17</v>
      </c>
      <c r="L187" s="21">
        <v>5</v>
      </c>
      <c r="M187" s="38" t="s">
        <v>1950</v>
      </c>
      <c r="N187" s="23" t="s">
        <v>1951</v>
      </c>
    </row>
    <row r="188" spans="1:14" x14ac:dyDescent="0.25">
      <c r="A188" s="19" t="s">
        <v>300</v>
      </c>
      <c r="B188" s="19" t="s">
        <v>975</v>
      </c>
      <c r="C188" s="19" t="s">
        <v>930</v>
      </c>
      <c r="D188" s="37">
        <v>1</v>
      </c>
      <c r="E188" s="21">
        <v>3</v>
      </c>
      <c r="F188" s="21">
        <v>4</v>
      </c>
      <c r="G188" s="21">
        <v>1</v>
      </c>
      <c r="H188" s="21"/>
      <c r="I188" s="21">
        <v>2</v>
      </c>
      <c r="J188" s="21">
        <v>2</v>
      </c>
      <c r="K188" s="21" t="s">
        <v>18</v>
      </c>
      <c r="L188" s="21">
        <v>4</v>
      </c>
      <c r="M188" s="38" t="s">
        <v>976</v>
      </c>
      <c r="N188" s="23" t="s">
        <v>977</v>
      </c>
    </row>
    <row r="189" spans="1:14" x14ac:dyDescent="0.25">
      <c r="A189" s="19" t="s">
        <v>300</v>
      </c>
      <c r="B189" s="19" t="s">
        <v>975</v>
      </c>
      <c r="C189" s="19" t="s">
        <v>930</v>
      </c>
      <c r="D189" s="39" t="s">
        <v>15</v>
      </c>
      <c r="E189" s="21">
        <v>4</v>
      </c>
      <c r="F189" s="21">
        <v>5</v>
      </c>
      <c r="G189" s="21">
        <v>1</v>
      </c>
      <c r="H189" s="21"/>
      <c r="I189" s="21">
        <v>2</v>
      </c>
      <c r="J189" s="21">
        <v>2</v>
      </c>
      <c r="K189" s="21" t="s">
        <v>18</v>
      </c>
      <c r="L189" s="21">
        <v>4</v>
      </c>
      <c r="M189" s="38" t="s">
        <v>976</v>
      </c>
      <c r="N189" s="23" t="s">
        <v>977</v>
      </c>
    </row>
    <row r="190" spans="1:14" x14ac:dyDescent="0.25">
      <c r="A190" s="19" t="s">
        <v>300</v>
      </c>
      <c r="B190" s="19" t="s">
        <v>975</v>
      </c>
      <c r="C190" s="19" t="s">
        <v>930</v>
      </c>
      <c r="D190" s="37" t="s">
        <v>20</v>
      </c>
      <c r="E190" s="21">
        <v>5</v>
      </c>
      <c r="F190" s="21">
        <v>6</v>
      </c>
      <c r="G190" s="21">
        <v>2</v>
      </c>
      <c r="H190" s="21"/>
      <c r="I190" s="21">
        <v>2</v>
      </c>
      <c r="J190" s="21">
        <v>2</v>
      </c>
      <c r="K190" s="21" t="s">
        <v>18</v>
      </c>
      <c r="L190" s="21">
        <v>5</v>
      </c>
      <c r="M190" s="38" t="s">
        <v>976</v>
      </c>
      <c r="N190" s="23" t="s">
        <v>977</v>
      </c>
    </row>
    <row r="191" spans="1:14" x14ac:dyDescent="0.25">
      <c r="A191" s="19" t="s">
        <v>300</v>
      </c>
      <c r="B191" s="19" t="s">
        <v>975</v>
      </c>
      <c r="C191" s="19" t="s">
        <v>930</v>
      </c>
      <c r="D191" s="37" t="s">
        <v>786</v>
      </c>
      <c r="E191" s="21">
        <v>7</v>
      </c>
      <c r="F191" s="21">
        <v>7</v>
      </c>
      <c r="G191" s="21">
        <v>2</v>
      </c>
      <c r="H191" s="21"/>
      <c r="I191" s="21">
        <v>2</v>
      </c>
      <c r="J191" s="21">
        <v>2</v>
      </c>
      <c r="K191" s="21" t="s">
        <v>18</v>
      </c>
      <c r="L191" s="21">
        <v>5</v>
      </c>
      <c r="M191" s="38" t="s">
        <v>976</v>
      </c>
      <c r="N191" s="23" t="s">
        <v>977</v>
      </c>
    </row>
    <row r="192" spans="1:14" ht="30" x14ac:dyDescent="0.25">
      <c r="A192" s="19" t="s">
        <v>300</v>
      </c>
      <c r="B192" s="19" t="s">
        <v>990</v>
      </c>
      <c r="C192" s="19" t="s">
        <v>937</v>
      </c>
      <c r="D192" s="37">
        <v>1</v>
      </c>
      <c r="E192" s="21">
        <v>4</v>
      </c>
      <c r="F192" s="21">
        <v>6</v>
      </c>
      <c r="G192" s="21">
        <v>2</v>
      </c>
      <c r="H192" s="21"/>
      <c r="I192" s="21">
        <v>3</v>
      </c>
      <c r="J192" s="21">
        <v>1</v>
      </c>
      <c r="K192" s="21" t="s">
        <v>18</v>
      </c>
      <c r="L192" s="21">
        <v>3</v>
      </c>
      <c r="M192" s="38" t="s">
        <v>991</v>
      </c>
      <c r="N192" s="23" t="s">
        <v>992</v>
      </c>
    </row>
    <row r="193" spans="1:14" ht="30" x14ac:dyDescent="0.25">
      <c r="A193" s="19" t="s">
        <v>300</v>
      </c>
      <c r="B193" s="19" t="s">
        <v>990</v>
      </c>
      <c r="C193" s="19" t="s">
        <v>937</v>
      </c>
      <c r="D193" s="39" t="s">
        <v>15</v>
      </c>
      <c r="E193" s="21">
        <v>5</v>
      </c>
      <c r="F193" s="21">
        <v>7</v>
      </c>
      <c r="G193" s="21">
        <v>3</v>
      </c>
      <c r="H193" s="21"/>
      <c r="I193" s="21">
        <v>3</v>
      </c>
      <c r="J193" s="21">
        <v>1</v>
      </c>
      <c r="K193" s="21" t="s">
        <v>18</v>
      </c>
      <c r="L193" s="21">
        <v>3</v>
      </c>
      <c r="M193" s="38" t="s">
        <v>991</v>
      </c>
      <c r="N193" s="23" t="s">
        <v>992</v>
      </c>
    </row>
    <row r="194" spans="1:14" ht="30" x14ac:dyDescent="0.25">
      <c r="A194" s="19" t="s">
        <v>300</v>
      </c>
      <c r="B194" s="19" t="s">
        <v>990</v>
      </c>
      <c r="C194" s="19" t="s">
        <v>937</v>
      </c>
      <c r="D194" s="37" t="s">
        <v>20</v>
      </c>
      <c r="E194" s="21">
        <v>6</v>
      </c>
      <c r="F194" s="21">
        <v>8</v>
      </c>
      <c r="G194" s="21">
        <v>4</v>
      </c>
      <c r="H194" s="21"/>
      <c r="I194" s="21">
        <v>3</v>
      </c>
      <c r="J194" s="21">
        <v>1</v>
      </c>
      <c r="K194" s="21" t="s">
        <v>18</v>
      </c>
      <c r="L194" s="21">
        <v>4</v>
      </c>
      <c r="M194" s="38" t="s">
        <v>991</v>
      </c>
      <c r="N194" s="23" t="s">
        <v>992</v>
      </c>
    </row>
    <row r="195" spans="1:14" ht="30" x14ac:dyDescent="0.25">
      <c r="A195" s="19" t="s">
        <v>300</v>
      </c>
      <c r="B195" s="19" t="s">
        <v>990</v>
      </c>
      <c r="C195" s="19" t="s">
        <v>937</v>
      </c>
      <c r="D195" s="37" t="s">
        <v>786</v>
      </c>
      <c r="E195" s="21">
        <v>8</v>
      </c>
      <c r="F195" s="21">
        <v>8</v>
      </c>
      <c r="G195" s="21">
        <v>4</v>
      </c>
      <c r="H195" s="21"/>
      <c r="I195" s="21">
        <v>3</v>
      </c>
      <c r="J195" s="21">
        <v>1</v>
      </c>
      <c r="K195" s="21" t="s">
        <v>18</v>
      </c>
      <c r="L195" s="21">
        <v>5</v>
      </c>
      <c r="M195" s="38" t="s">
        <v>991</v>
      </c>
      <c r="N195" s="23" t="s">
        <v>992</v>
      </c>
    </row>
    <row r="196" spans="1:14" x14ac:dyDescent="0.25">
      <c r="A196" s="19" t="s">
        <v>300</v>
      </c>
      <c r="B196" s="19" t="s">
        <v>993</v>
      </c>
      <c r="C196" s="19" t="s">
        <v>937</v>
      </c>
      <c r="D196" s="37">
        <v>1</v>
      </c>
      <c r="E196" s="21">
        <v>5</v>
      </c>
      <c r="F196" s="21">
        <v>5</v>
      </c>
      <c r="G196" s="21">
        <v>2</v>
      </c>
      <c r="H196" s="21"/>
      <c r="I196" s="21">
        <v>3</v>
      </c>
      <c r="J196" s="21">
        <v>3</v>
      </c>
      <c r="K196" s="21" t="s">
        <v>17</v>
      </c>
      <c r="L196" s="21">
        <v>4</v>
      </c>
      <c r="M196" s="38" t="s">
        <v>994</v>
      </c>
      <c r="N196" s="23" t="s">
        <v>995</v>
      </c>
    </row>
    <row r="197" spans="1:14" x14ac:dyDescent="0.25">
      <c r="A197" s="19" t="s">
        <v>300</v>
      </c>
      <c r="B197" s="19" t="s">
        <v>993</v>
      </c>
      <c r="C197" s="19" t="s">
        <v>937</v>
      </c>
      <c r="D197" s="39" t="s">
        <v>15</v>
      </c>
      <c r="E197" s="21">
        <v>6</v>
      </c>
      <c r="F197" s="21">
        <v>6</v>
      </c>
      <c r="G197" s="21">
        <v>2</v>
      </c>
      <c r="H197" s="21"/>
      <c r="I197" s="21">
        <v>3</v>
      </c>
      <c r="J197" s="21">
        <v>3</v>
      </c>
      <c r="K197" s="21" t="s">
        <v>17</v>
      </c>
      <c r="L197" s="21">
        <v>4</v>
      </c>
      <c r="M197" s="38" t="s">
        <v>994</v>
      </c>
      <c r="N197" s="23" t="s">
        <v>995</v>
      </c>
    </row>
    <row r="198" spans="1:14" x14ac:dyDescent="0.25">
      <c r="A198" s="19" t="s">
        <v>300</v>
      </c>
      <c r="B198" s="19" t="s">
        <v>993</v>
      </c>
      <c r="C198" s="19" t="s">
        <v>937</v>
      </c>
      <c r="D198" s="37" t="s">
        <v>20</v>
      </c>
      <c r="E198" s="21">
        <v>7</v>
      </c>
      <c r="F198" s="21">
        <v>7</v>
      </c>
      <c r="G198" s="21">
        <v>3</v>
      </c>
      <c r="H198" s="21"/>
      <c r="I198" s="21">
        <v>3</v>
      </c>
      <c r="J198" s="21">
        <v>3</v>
      </c>
      <c r="K198" s="21" t="s">
        <v>17</v>
      </c>
      <c r="L198" s="21">
        <v>5</v>
      </c>
      <c r="M198" s="38" t="s">
        <v>994</v>
      </c>
      <c r="N198" s="23" t="s">
        <v>995</v>
      </c>
    </row>
    <row r="199" spans="1:14" x14ac:dyDescent="0.25">
      <c r="A199" s="19" t="s">
        <v>300</v>
      </c>
      <c r="B199" s="19" t="s">
        <v>993</v>
      </c>
      <c r="C199" s="19" t="s">
        <v>937</v>
      </c>
      <c r="D199" s="37" t="s">
        <v>786</v>
      </c>
      <c r="E199" s="21">
        <v>8</v>
      </c>
      <c r="F199" s="21">
        <v>9</v>
      </c>
      <c r="G199" s="21">
        <v>3</v>
      </c>
      <c r="H199" s="21"/>
      <c r="I199" s="21">
        <v>3</v>
      </c>
      <c r="J199" s="21">
        <v>3</v>
      </c>
      <c r="K199" s="21" t="s">
        <v>17</v>
      </c>
      <c r="L199" s="21">
        <v>5</v>
      </c>
      <c r="M199" s="38" t="s">
        <v>994</v>
      </c>
      <c r="N199" s="23" t="s">
        <v>995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H79"/>
  <sheetViews>
    <sheetView workbookViewId="0"/>
  </sheetViews>
  <sheetFormatPr defaultRowHeight="15" x14ac:dyDescent="0.25"/>
  <cols>
    <col min="1" max="1" width="17.42578125" style="19" bestFit="1" customWidth="1"/>
    <col min="2" max="2" width="10.140625" style="19" bestFit="1" customWidth="1"/>
    <col min="3" max="3" width="14.7109375" style="19" bestFit="1" customWidth="1"/>
    <col min="4" max="4" width="8" style="19" bestFit="1" customWidth="1"/>
    <col min="5" max="5" width="10.7109375" style="19" bestFit="1" customWidth="1"/>
    <col min="6" max="6" width="9.140625" style="19"/>
    <col min="7" max="7" width="17.5703125" style="19" bestFit="1" customWidth="1"/>
    <col min="8" max="8" width="101.85546875" style="23" customWidth="1"/>
    <col min="9" max="16384" width="9.140625" style="19"/>
  </cols>
  <sheetData>
    <row r="1" spans="1:8" x14ac:dyDescent="0.25">
      <c r="A1" s="19" t="s">
        <v>176</v>
      </c>
      <c r="B1" s="19" t="s">
        <v>6</v>
      </c>
      <c r="C1" s="19" t="s">
        <v>826</v>
      </c>
      <c r="D1" s="19" t="s">
        <v>5</v>
      </c>
      <c r="E1" s="19" t="s">
        <v>7</v>
      </c>
      <c r="F1" s="19" t="s">
        <v>76</v>
      </c>
      <c r="G1" s="19" t="s">
        <v>793</v>
      </c>
      <c r="H1" s="23" t="s">
        <v>794</v>
      </c>
    </row>
    <row r="2" spans="1:8" ht="30" x14ac:dyDescent="0.25">
      <c r="A2" s="48" t="s">
        <v>1482</v>
      </c>
      <c r="B2" s="48" t="s">
        <v>1481</v>
      </c>
      <c r="C2" s="48"/>
      <c r="D2" s="48">
        <v>1</v>
      </c>
      <c r="E2" s="48">
        <v>0</v>
      </c>
      <c r="F2" s="48">
        <v>2</v>
      </c>
      <c r="G2" s="48" t="s">
        <v>2021</v>
      </c>
      <c r="H2" s="40" t="s">
        <v>2020</v>
      </c>
    </row>
    <row r="3" spans="1:8" ht="30" x14ac:dyDescent="0.25">
      <c r="A3" s="48" t="s">
        <v>1482</v>
      </c>
      <c r="B3" s="48" t="s">
        <v>1481</v>
      </c>
      <c r="C3" s="48"/>
      <c r="D3" s="48">
        <v>2</v>
      </c>
      <c r="E3" s="48">
        <v>0</v>
      </c>
      <c r="F3" s="48">
        <v>3</v>
      </c>
      <c r="G3" s="48" t="s">
        <v>2021</v>
      </c>
      <c r="H3" s="40" t="s">
        <v>2020</v>
      </c>
    </row>
    <row r="4" spans="1:8" ht="30" x14ac:dyDescent="0.25">
      <c r="A4" s="48" t="s">
        <v>1482</v>
      </c>
      <c r="B4" s="48" t="s">
        <v>1481</v>
      </c>
      <c r="C4" s="48"/>
      <c r="D4" s="48">
        <v>3</v>
      </c>
      <c r="E4" s="48">
        <v>0</v>
      </c>
      <c r="F4" s="48">
        <v>3</v>
      </c>
      <c r="G4" s="48" t="s">
        <v>2021</v>
      </c>
      <c r="H4" s="40" t="s">
        <v>2022</v>
      </c>
    </row>
    <row r="5" spans="1:8" x14ac:dyDescent="0.25">
      <c r="A5" s="19" t="s">
        <v>918</v>
      </c>
      <c r="B5" s="19" t="s">
        <v>825</v>
      </c>
      <c r="C5" s="19" t="s">
        <v>827</v>
      </c>
      <c r="D5" s="19">
        <v>1</v>
      </c>
      <c r="E5" s="19">
        <v>2</v>
      </c>
      <c r="F5" s="19">
        <v>3</v>
      </c>
      <c r="G5" s="19" t="s">
        <v>828</v>
      </c>
      <c r="H5" s="23" t="s">
        <v>829</v>
      </c>
    </row>
    <row r="6" spans="1:8" x14ac:dyDescent="0.25">
      <c r="A6" s="19" t="s">
        <v>918</v>
      </c>
      <c r="B6" s="19" t="s">
        <v>825</v>
      </c>
      <c r="C6" s="19" t="s">
        <v>827</v>
      </c>
      <c r="D6" s="19">
        <v>2</v>
      </c>
      <c r="E6" s="19">
        <v>2</v>
      </c>
      <c r="F6" s="19">
        <v>2</v>
      </c>
      <c r="G6" s="19" t="s">
        <v>828</v>
      </c>
      <c r="H6" s="23" t="s">
        <v>830</v>
      </c>
    </row>
    <row r="7" spans="1:8" x14ac:dyDescent="0.25">
      <c r="A7" s="19" t="s">
        <v>918</v>
      </c>
      <c r="B7" s="19" t="s">
        <v>825</v>
      </c>
      <c r="C7" s="19" t="s">
        <v>827</v>
      </c>
      <c r="D7" s="19">
        <v>3</v>
      </c>
      <c r="E7" s="19">
        <v>1</v>
      </c>
      <c r="F7" s="19">
        <v>2</v>
      </c>
      <c r="G7" s="19" t="s">
        <v>828</v>
      </c>
      <c r="H7" s="23" t="s">
        <v>831</v>
      </c>
    </row>
    <row r="8" spans="1:8" x14ac:dyDescent="0.25">
      <c r="A8" s="19" t="s">
        <v>918</v>
      </c>
      <c r="B8" s="19" t="s">
        <v>842</v>
      </c>
      <c r="C8" s="19" t="s">
        <v>827</v>
      </c>
      <c r="D8" s="19">
        <v>1</v>
      </c>
      <c r="E8" s="19">
        <v>1</v>
      </c>
      <c r="F8" s="19">
        <v>2</v>
      </c>
      <c r="G8" s="19" t="s">
        <v>843</v>
      </c>
      <c r="H8" s="23" t="s">
        <v>844</v>
      </c>
    </row>
    <row r="9" spans="1:8" x14ac:dyDescent="0.25">
      <c r="A9" s="19" t="s">
        <v>918</v>
      </c>
      <c r="B9" s="19" t="s">
        <v>842</v>
      </c>
      <c r="C9" s="19" t="s">
        <v>827</v>
      </c>
      <c r="D9" s="19">
        <v>2</v>
      </c>
      <c r="E9" s="19">
        <v>2</v>
      </c>
      <c r="F9" s="19">
        <v>3</v>
      </c>
      <c r="G9" s="19" t="s">
        <v>843</v>
      </c>
      <c r="H9" s="23" t="s">
        <v>844</v>
      </c>
    </row>
    <row r="10" spans="1:8" x14ac:dyDescent="0.25">
      <c r="A10" s="19" t="s">
        <v>918</v>
      </c>
      <c r="B10" s="19" t="s">
        <v>842</v>
      </c>
      <c r="C10" s="19" t="s">
        <v>827</v>
      </c>
      <c r="D10" s="19">
        <v>3</v>
      </c>
      <c r="E10" s="19">
        <v>3</v>
      </c>
      <c r="F10" s="19">
        <v>3</v>
      </c>
      <c r="G10" s="19" t="s">
        <v>843</v>
      </c>
      <c r="H10" s="23" t="s">
        <v>844</v>
      </c>
    </row>
    <row r="11" spans="1:8" x14ac:dyDescent="0.25">
      <c r="A11" s="19" t="s">
        <v>918</v>
      </c>
      <c r="B11" s="19" t="s">
        <v>845</v>
      </c>
      <c r="C11" s="19" t="s">
        <v>846</v>
      </c>
      <c r="D11" s="19">
        <v>1</v>
      </c>
      <c r="E11" s="19">
        <v>0</v>
      </c>
      <c r="F11" s="19">
        <v>3</v>
      </c>
      <c r="G11" s="19" t="s">
        <v>847</v>
      </c>
      <c r="H11" s="23" t="s">
        <v>848</v>
      </c>
    </row>
    <row r="12" spans="1:8" x14ac:dyDescent="0.25">
      <c r="A12" s="19" t="s">
        <v>918</v>
      </c>
      <c r="B12" s="19" t="s">
        <v>845</v>
      </c>
      <c r="C12" s="19" t="s">
        <v>846</v>
      </c>
      <c r="D12" s="19">
        <v>2</v>
      </c>
      <c r="E12" s="19">
        <v>1</v>
      </c>
      <c r="F12" s="19">
        <v>4</v>
      </c>
      <c r="G12" s="19" t="s">
        <v>847</v>
      </c>
      <c r="H12" s="23" t="s">
        <v>848</v>
      </c>
    </row>
    <row r="13" spans="1:8" x14ac:dyDescent="0.25">
      <c r="A13" s="19" t="s">
        <v>918</v>
      </c>
      <c r="B13" s="19" t="s">
        <v>845</v>
      </c>
      <c r="C13" s="19" t="s">
        <v>846</v>
      </c>
      <c r="D13" s="19">
        <v>3</v>
      </c>
      <c r="E13" s="19">
        <v>1</v>
      </c>
      <c r="F13" s="19">
        <v>5</v>
      </c>
      <c r="G13" s="19" t="s">
        <v>847</v>
      </c>
      <c r="H13" s="23" t="s">
        <v>848</v>
      </c>
    </row>
    <row r="14" spans="1:8" x14ac:dyDescent="0.25">
      <c r="A14" s="19" t="s">
        <v>918</v>
      </c>
      <c r="B14" s="19" t="s">
        <v>857</v>
      </c>
      <c r="C14" s="19" t="s">
        <v>858</v>
      </c>
      <c r="D14" s="19">
        <v>1</v>
      </c>
      <c r="E14" s="19">
        <v>2</v>
      </c>
      <c r="F14" s="19">
        <v>2</v>
      </c>
      <c r="G14" s="19" t="s">
        <v>859</v>
      </c>
      <c r="H14" s="23" t="s">
        <v>1712</v>
      </c>
    </row>
    <row r="15" spans="1:8" x14ac:dyDescent="0.25">
      <c r="A15" s="19" t="s">
        <v>918</v>
      </c>
      <c r="B15" s="19" t="s">
        <v>857</v>
      </c>
      <c r="C15" s="19" t="s">
        <v>858</v>
      </c>
      <c r="D15" s="19">
        <v>2</v>
      </c>
      <c r="E15" s="19">
        <v>3</v>
      </c>
      <c r="F15" s="19">
        <v>3</v>
      </c>
      <c r="G15" s="19" t="s">
        <v>859</v>
      </c>
      <c r="H15" s="23" t="s">
        <v>1712</v>
      </c>
    </row>
    <row r="16" spans="1:8" x14ac:dyDescent="0.25">
      <c r="A16" s="19" t="s">
        <v>918</v>
      </c>
      <c r="B16" s="19" t="s">
        <v>857</v>
      </c>
      <c r="C16" s="19" t="s">
        <v>858</v>
      </c>
      <c r="D16" s="19">
        <v>3</v>
      </c>
      <c r="E16" s="19">
        <v>3</v>
      </c>
      <c r="F16" s="19">
        <v>4</v>
      </c>
      <c r="G16" s="19" t="s">
        <v>859</v>
      </c>
      <c r="H16" s="23" t="s">
        <v>1712</v>
      </c>
    </row>
    <row r="17" spans="1:8" x14ac:dyDescent="0.25">
      <c r="A17" s="19" t="s">
        <v>918</v>
      </c>
      <c r="B17" s="19" t="s">
        <v>871</v>
      </c>
      <c r="C17" s="19" t="s">
        <v>872</v>
      </c>
      <c r="D17" s="19">
        <v>1</v>
      </c>
      <c r="E17" s="19">
        <v>1</v>
      </c>
      <c r="F17" s="19">
        <v>2</v>
      </c>
      <c r="G17" s="19" t="s">
        <v>874</v>
      </c>
      <c r="H17" s="23" t="s">
        <v>873</v>
      </c>
    </row>
    <row r="18" spans="1:8" x14ac:dyDescent="0.25">
      <c r="A18" s="19" t="s">
        <v>918</v>
      </c>
      <c r="B18" s="19" t="s">
        <v>871</v>
      </c>
      <c r="C18" s="19" t="s">
        <v>872</v>
      </c>
      <c r="D18" s="19">
        <v>2</v>
      </c>
      <c r="E18" s="19">
        <v>2</v>
      </c>
      <c r="F18" s="19">
        <v>3</v>
      </c>
      <c r="G18" s="19" t="s">
        <v>874</v>
      </c>
      <c r="H18" s="23" t="s">
        <v>873</v>
      </c>
    </row>
    <row r="19" spans="1:8" x14ac:dyDescent="0.25">
      <c r="A19" s="19" t="s">
        <v>918</v>
      </c>
      <c r="B19" s="19" t="s">
        <v>871</v>
      </c>
      <c r="C19" s="19" t="s">
        <v>872</v>
      </c>
      <c r="D19" s="19">
        <v>3</v>
      </c>
      <c r="E19" s="19">
        <v>2</v>
      </c>
      <c r="F19" s="19">
        <v>3</v>
      </c>
      <c r="G19" s="19" t="s">
        <v>874</v>
      </c>
      <c r="H19" s="23" t="s">
        <v>875</v>
      </c>
    </row>
    <row r="20" spans="1:8" x14ac:dyDescent="0.25">
      <c r="A20" s="19" t="s">
        <v>918</v>
      </c>
      <c r="B20" s="19" t="s">
        <v>876</v>
      </c>
      <c r="C20" s="19" t="s">
        <v>877</v>
      </c>
      <c r="D20" s="19">
        <v>1</v>
      </c>
      <c r="E20" s="19">
        <v>1</v>
      </c>
      <c r="F20" s="19">
        <v>2</v>
      </c>
      <c r="G20" s="19" t="s">
        <v>878</v>
      </c>
      <c r="H20" s="23" t="s">
        <v>879</v>
      </c>
    </row>
    <row r="21" spans="1:8" x14ac:dyDescent="0.25">
      <c r="A21" s="19" t="s">
        <v>918</v>
      </c>
      <c r="B21" s="19" t="s">
        <v>876</v>
      </c>
      <c r="C21" s="19" t="s">
        <v>877</v>
      </c>
      <c r="D21" s="19">
        <v>2</v>
      </c>
      <c r="E21" s="19">
        <v>2</v>
      </c>
      <c r="F21" s="19">
        <v>3</v>
      </c>
      <c r="G21" s="19" t="s">
        <v>878</v>
      </c>
      <c r="H21" s="23" t="s">
        <v>880</v>
      </c>
    </row>
    <row r="22" spans="1:8" x14ac:dyDescent="0.25">
      <c r="A22" s="19" t="s">
        <v>918</v>
      </c>
      <c r="B22" s="19" t="s">
        <v>876</v>
      </c>
      <c r="C22" s="19" t="s">
        <v>877</v>
      </c>
      <c r="D22" s="19">
        <v>3</v>
      </c>
      <c r="E22" s="19">
        <v>2</v>
      </c>
      <c r="F22" s="19">
        <v>3</v>
      </c>
      <c r="G22" s="19" t="s">
        <v>878</v>
      </c>
      <c r="H22" s="23" t="s">
        <v>881</v>
      </c>
    </row>
    <row r="23" spans="1:8" ht="30" x14ac:dyDescent="0.25">
      <c r="A23" s="19" t="s">
        <v>919</v>
      </c>
      <c r="B23" s="19" t="s">
        <v>921</v>
      </c>
      <c r="C23" s="19" t="s">
        <v>2023</v>
      </c>
      <c r="D23" s="19">
        <v>1</v>
      </c>
      <c r="E23" s="19">
        <v>1</v>
      </c>
      <c r="F23" s="19">
        <v>2</v>
      </c>
      <c r="G23" s="19" t="s">
        <v>916</v>
      </c>
      <c r="H23" s="23" t="s">
        <v>2024</v>
      </c>
    </row>
    <row r="24" spans="1:8" ht="30" x14ac:dyDescent="0.25">
      <c r="A24" s="19" t="s">
        <v>919</v>
      </c>
      <c r="B24" s="19" t="s">
        <v>921</v>
      </c>
      <c r="C24" s="19" t="s">
        <v>2023</v>
      </c>
      <c r="D24" s="19">
        <v>2</v>
      </c>
      <c r="E24" s="19">
        <v>1</v>
      </c>
      <c r="F24" s="19">
        <v>3</v>
      </c>
      <c r="G24" s="19" t="s">
        <v>916</v>
      </c>
      <c r="H24" s="23" t="s">
        <v>2025</v>
      </c>
    </row>
    <row r="25" spans="1:8" ht="30" x14ac:dyDescent="0.25">
      <c r="A25" s="19" t="s">
        <v>919</v>
      </c>
      <c r="B25" s="19" t="s">
        <v>921</v>
      </c>
      <c r="C25" s="19" t="s">
        <v>2023</v>
      </c>
      <c r="D25" s="19">
        <v>3</v>
      </c>
      <c r="E25" s="19">
        <v>2</v>
      </c>
      <c r="F25" s="19">
        <v>3</v>
      </c>
      <c r="G25" s="19" t="s">
        <v>916</v>
      </c>
      <c r="H25" s="23" t="s">
        <v>2026</v>
      </c>
    </row>
    <row r="26" spans="1:8" x14ac:dyDescent="0.25">
      <c r="A26" s="19" t="s">
        <v>919</v>
      </c>
      <c r="B26" s="19" t="s">
        <v>922</v>
      </c>
      <c r="C26" s="19" t="s">
        <v>2027</v>
      </c>
      <c r="D26" s="19">
        <v>1</v>
      </c>
      <c r="E26" s="19">
        <v>1</v>
      </c>
      <c r="F26" s="19">
        <v>2</v>
      </c>
      <c r="G26" s="19" t="s">
        <v>2028</v>
      </c>
      <c r="H26" s="23" t="s">
        <v>2029</v>
      </c>
    </row>
    <row r="27" spans="1:8" x14ac:dyDescent="0.25">
      <c r="A27" s="19" t="s">
        <v>919</v>
      </c>
      <c r="B27" s="19" t="s">
        <v>922</v>
      </c>
      <c r="C27" s="19" t="s">
        <v>2027</v>
      </c>
      <c r="D27" s="19">
        <v>2</v>
      </c>
      <c r="E27" s="19">
        <v>2</v>
      </c>
      <c r="F27" s="19">
        <v>3</v>
      </c>
      <c r="G27" s="19" t="s">
        <v>2028</v>
      </c>
      <c r="H27" s="23" t="s">
        <v>2029</v>
      </c>
    </row>
    <row r="28" spans="1:8" x14ac:dyDescent="0.25">
      <c r="A28" s="19" t="s">
        <v>919</v>
      </c>
      <c r="B28" s="19" t="s">
        <v>922</v>
      </c>
      <c r="C28" s="19" t="s">
        <v>2027</v>
      </c>
      <c r="D28" s="19">
        <v>3</v>
      </c>
      <c r="E28" s="19">
        <v>3</v>
      </c>
      <c r="F28" s="19">
        <v>3</v>
      </c>
      <c r="G28" s="19" t="s">
        <v>2028</v>
      </c>
      <c r="H28" s="23" t="s">
        <v>2030</v>
      </c>
    </row>
    <row r="29" spans="1:8" ht="30" x14ac:dyDescent="0.25">
      <c r="A29" s="19" t="s">
        <v>919</v>
      </c>
      <c r="B29" s="19" t="s">
        <v>923</v>
      </c>
      <c r="C29" s="19" t="s">
        <v>2031</v>
      </c>
      <c r="D29" s="19">
        <v>1</v>
      </c>
      <c r="E29" s="19">
        <v>1</v>
      </c>
      <c r="F29" s="19">
        <v>2</v>
      </c>
      <c r="G29" s="19" t="s">
        <v>2032</v>
      </c>
      <c r="H29" s="23" t="s">
        <v>2033</v>
      </c>
    </row>
    <row r="30" spans="1:8" ht="30" x14ac:dyDescent="0.25">
      <c r="A30" s="19" t="s">
        <v>919</v>
      </c>
      <c r="B30" s="19" t="s">
        <v>923</v>
      </c>
      <c r="C30" s="19" t="s">
        <v>2031</v>
      </c>
      <c r="D30" s="19">
        <v>2</v>
      </c>
      <c r="E30" s="19">
        <v>1</v>
      </c>
      <c r="F30" s="19">
        <v>3</v>
      </c>
      <c r="G30" s="19" t="s">
        <v>2032</v>
      </c>
      <c r="H30" s="23" t="s">
        <v>2034</v>
      </c>
    </row>
    <row r="31" spans="1:8" ht="30" x14ac:dyDescent="0.25">
      <c r="A31" s="19" t="s">
        <v>919</v>
      </c>
      <c r="B31" s="19" t="s">
        <v>923</v>
      </c>
      <c r="C31" s="19" t="s">
        <v>2031</v>
      </c>
      <c r="D31" s="19">
        <v>3</v>
      </c>
      <c r="E31" s="19">
        <v>2</v>
      </c>
      <c r="F31" s="19">
        <v>3</v>
      </c>
      <c r="G31" s="19" t="s">
        <v>2032</v>
      </c>
      <c r="H31" s="23" t="s">
        <v>2035</v>
      </c>
    </row>
    <row r="32" spans="1:8" x14ac:dyDescent="0.25">
      <c r="A32" s="19" t="s">
        <v>920</v>
      </c>
      <c r="B32" s="19" t="s">
        <v>2036</v>
      </c>
      <c r="C32" s="19" t="s">
        <v>2037</v>
      </c>
      <c r="D32" s="19">
        <v>1</v>
      </c>
      <c r="E32" s="19">
        <v>2</v>
      </c>
      <c r="F32" s="19">
        <v>3</v>
      </c>
      <c r="G32" s="19" t="s">
        <v>2038</v>
      </c>
      <c r="H32" s="23" t="s">
        <v>2039</v>
      </c>
    </row>
    <row r="33" spans="1:8" x14ac:dyDescent="0.25">
      <c r="A33" s="19" t="s">
        <v>920</v>
      </c>
      <c r="B33" s="19" t="s">
        <v>2036</v>
      </c>
      <c r="C33" s="19" t="s">
        <v>2037</v>
      </c>
      <c r="D33" s="19">
        <v>2</v>
      </c>
      <c r="E33" s="19">
        <v>2</v>
      </c>
      <c r="F33" s="19">
        <v>3</v>
      </c>
      <c r="G33" s="19" t="s">
        <v>2038</v>
      </c>
      <c r="H33" s="23" t="s">
        <v>2040</v>
      </c>
    </row>
    <row r="34" spans="1:8" x14ac:dyDescent="0.25">
      <c r="A34" s="19" t="s">
        <v>920</v>
      </c>
      <c r="B34" s="19" t="s">
        <v>2036</v>
      </c>
      <c r="C34" s="19" t="s">
        <v>2037</v>
      </c>
      <c r="D34" s="19">
        <v>3</v>
      </c>
      <c r="E34" s="19">
        <v>3</v>
      </c>
      <c r="F34" s="19">
        <v>3</v>
      </c>
      <c r="G34" s="19" t="s">
        <v>2038</v>
      </c>
      <c r="H34" s="23" t="s">
        <v>2041</v>
      </c>
    </row>
    <row r="35" spans="1:8" ht="30" x14ac:dyDescent="0.25">
      <c r="A35" s="19" t="s">
        <v>920</v>
      </c>
      <c r="B35" s="19" t="s">
        <v>924</v>
      </c>
      <c r="C35" s="19" t="s">
        <v>2042</v>
      </c>
      <c r="D35" s="19">
        <v>1</v>
      </c>
      <c r="E35" s="19">
        <v>1</v>
      </c>
      <c r="F35" s="19">
        <v>2</v>
      </c>
      <c r="G35" s="19" t="s">
        <v>2043</v>
      </c>
      <c r="H35" s="23" t="s">
        <v>2044</v>
      </c>
    </row>
    <row r="36" spans="1:8" ht="30" x14ac:dyDescent="0.25">
      <c r="A36" s="19" t="s">
        <v>920</v>
      </c>
      <c r="B36" s="19" t="s">
        <v>924</v>
      </c>
      <c r="C36" s="19" t="s">
        <v>2042</v>
      </c>
      <c r="D36" s="19">
        <v>2</v>
      </c>
      <c r="E36" s="19">
        <v>2</v>
      </c>
      <c r="F36" s="19">
        <v>3</v>
      </c>
      <c r="G36" s="19" t="s">
        <v>2043</v>
      </c>
      <c r="H36" s="23" t="s">
        <v>2044</v>
      </c>
    </row>
    <row r="37" spans="1:8" ht="30" x14ac:dyDescent="0.25">
      <c r="A37" s="19" t="s">
        <v>920</v>
      </c>
      <c r="B37" s="19" t="s">
        <v>924</v>
      </c>
      <c r="C37" s="19" t="s">
        <v>2042</v>
      </c>
      <c r="D37" s="19">
        <v>3</v>
      </c>
      <c r="E37" s="19">
        <v>3</v>
      </c>
      <c r="F37" s="19">
        <v>3</v>
      </c>
      <c r="G37" s="19" t="s">
        <v>2043</v>
      </c>
      <c r="H37" s="23" t="s">
        <v>2044</v>
      </c>
    </row>
    <row r="38" spans="1:8" ht="30" x14ac:dyDescent="0.25">
      <c r="A38" s="19" t="s">
        <v>920</v>
      </c>
      <c r="B38" s="19" t="s">
        <v>925</v>
      </c>
      <c r="C38" s="19" t="s">
        <v>2045</v>
      </c>
      <c r="D38" s="19">
        <v>1</v>
      </c>
      <c r="E38" s="19">
        <v>1</v>
      </c>
      <c r="F38" s="19">
        <v>2</v>
      </c>
      <c r="G38" s="19" t="s">
        <v>2046</v>
      </c>
      <c r="H38" s="23" t="s">
        <v>2047</v>
      </c>
    </row>
    <row r="39" spans="1:8" ht="30" x14ac:dyDescent="0.25">
      <c r="A39" s="19" t="s">
        <v>920</v>
      </c>
      <c r="B39" s="19" t="s">
        <v>925</v>
      </c>
      <c r="C39" s="19" t="s">
        <v>2045</v>
      </c>
      <c r="D39" s="19">
        <v>2</v>
      </c>
      <c r="E39" s="19">
        <v>2</v>
      </c>
      <c r="F39" s="19">
        <v>3</v>
      </c>
      <c r="G39" s="19" t="s">
        <v>2046</v>
      </c>
      <c r="H39" s="23" t="s">
        <v>2047</v>
      </c>
    </row>
    <row r="40" spans="1:8" ht="30" x14ac:dyDescent="0.25">
      <c r="A40" s="19" t="s">
        <v>920</v>
      </c>
      <c r="B40" s="19" t="s">
        <v>925</v>
      </c>
      <c r="C40" s="19" t="s">
        <v>2045</v>
      </c>
      <c r="D40" s="19">
        <v>3</v>
      </c>
      <c r="E40" s="19">
        <v>3</v>
      </c>
      <c r="F40" s="19">
        <v>4</v>
      </c>
      <c r="G40" s="19" t="s">
        <v>2046</v>
      </c>
      <c r="H40" s="23" t="s">
        <v>2047</v>
      </c>
    </row>
    <row r="41" spans="1:8" x14ac:dyDescent="0.25">
      <c r="A41" s="19" t="s">
        <v>292</v>
      </c>
      <c r="B41" s="19" t="s">
        <v>832</v>
      </c>
      <c r="C41" s="19" t="s">
        <v>833</v>
      </c>
      <c r="D41" s="19">
        <v>1</v>
      </c>
      <c r="E41" s="19">
        <v>1</v>
      </c>
      <c r="F41" s="19">
        <v>2</v>
      </c>
      <c r="G41" s="19" t="s">
        <v>834</v>
      </c>
      <c r="H41" s="23" t="s">
        <v>835</v>
      </c>
    </row>
    <row r="42" spans="1:8" x14ac:dyDescent="0.25">
      <c r="A42" s="19" t="s">
        <v>292</v>
      </c>
      <c r="B42" s="19" t="s">
        <v>832</v>
      </c>
      <c r="C42" s="19" t="s">
        <v>833</v>
      </c>
      <c r="D42" s="19">
        <v>2</v>
      </c>
      <c r="E42" s="19">
        <v>1</v>
      </c>
      <c r="F42" s="19">
        <v>3</v>
      </c>
      <c r="G42" s="19" t="s">
        <v>834</v>
      </c>
      <c r="H42" s="23" t="s">
        <v>836</v>
      </c>
    </row>
    <row r="43" spans="1:8" x14ac:dyDescent="0.25">
      <c r="A43" s="19" t="s">
        <v>292</v>
      </c>
      <c r="B43" s="19" t="s">
        <v>832</v>
      </c>
      <c r="C43" s="19" t="s">
        <v>833</v>
      </c>
      <c r="D43" s="19">
        <v>3</v>
      </c>
      <c r="E43" s="19">
        <v>3</v>
      </c>
      <c r="F43" s="19">
        <v>3</v>
      </c>
      <c r="G43" s="19" t="s">
        <v>834</v>
      </c>
      <c r="H43" s="23" t="s">
        <v>836</v>
      </c>
    </row>
    <row r="44" spans="1:8" x14ac:dyDescent="0.25">
      <c r="A44" s="19" t="s">
        <v>292</v>
      </c>
      <c r="B44" s="19" t="s">
        <v>837</v>
      </c>
      <c r="C44" s="19" t="s">
        <v>838</v>
      </c>
      <c r="D44" s="19">
        <v>1</v>
      </c>
      <c r="E44" s="19">
        <v>1</v>
      </c>
      <c r="F44" s="19">
        <v>2</v>
      </c>
      <c r="G44" s="19" t="s">
        <v>839</v>
      </c>
      <c r="H44" s="23" t="s">
        <v>840</v>
      </c>
    </row>
    <row r="45" spans="1:8" x14ac:dyDescent="0.25">
      <c r="A45" s="19" t="s">
        <v>292</v>
      </c>
      <c r="B45" s="19" t="s">
        <v>837</v>
      </c>
      <c r="C45" s="19" t="s">
        <v>838</v>
      </c>
      <c r="D45" s="19">
        <v>2</v>
      </c>
      <c r="E45" s="19">
        <v>2</v>
      </c>
      <c r="F45" s="19">
        <v>3</v>
      </c>
      <c r="G45" s="19" t="s">
        <v>839</v>
      </c>
      <c r="H45" s="23" t="s">
        <v>840</v>
      </c>
    </row>
    <row r="46" spans="1:8" x14ac:dyDescent="0.25">
      <c r="A46" s="19" t="s">
        <v>292</v>
      </c>
      <c r="B46" s="19" t="s">
        <v>837</v>
      </c>
      <c r="C46" s="19" t="s">
        <v>838</v>
      </c>
      <c r="D46" s="19">
        <v>3</v>
      </c>
      <c r="E46" s="19">
        <v>2</v>
      </c>
      <c r="F46" s="19">
        <v>3</v>
      </c>
      <c r="G46" s="19" t="s">
        <v>839</v>
      </c>
      <c r="H46" s="23" t="s">
        <v>841</v>
      </c>
    </row>
    <row r="47" spans="1:8" x14ac:dyDescent="0.25">
      <c r="A47" s="19" t="s">
        <v>292</v>
      </c>
      <c r="B47" s="19" t="s">
        <v>849</v>
      </c>
      <c r="C47" s="19" t="s">
        <v>850</v>
      </c>
      <c r="D47" s="19">
        <v>1</v>
      </c>
      <c r="E47" s="19">
        <v>1</v>
      </c>
      <c r="F47" s="19">
        <v>2</v>
      </c>
      <c r="G47" s="19" t="s">
        <v>851</v>
      </c>
      <c r="H47" s="23" t="s">
        <v>852</v>
      </c>
    </row>
    <row r="48" spans="1:8" x14ac:dyDescent="0.25">
      <c r="A48" s="19" t="s">
        <v>292</v>
      </c>
      <c r="B48" s="19" t="s">
        <v>849</v>
      </c>
      <c r="C48" s="19" t="s">
        <v>850</v>
      </c>
      <c r="D48" s="19">
        <v>2</v>
      </c>
      <c r="E48" s="19">
        <v>2</v>
      </c>
      <c r="F48" s="19">
        <v>3</v>
      </c>
      <c r="G48" s="19" t="s">
        <v>851</v>
      </c>
      <c r="H48" s="23" t="s">
        <v>852</v>
      </c>
    </row>
    <row r="49" spans="1:8" x14ac:dyDescent="0.25">
      <c r="A49" s="19" t="s">
        <v>292</v>
      </c>
      <c r="B49" s="19" t="s">
        <v>849</v>
      </c>
      <c r="C49" s="19" t="s">
        <v>850</v>
      </c>
      <c r="D49" s="19">
        <v>3</v>
      </c>
      <c r="E49" s="19">
        <v>3</v>
      </c>
      <c r="F49" s="19">
        <v>3</v>
      </c>
      <c r="G49" s="19" t="s">
        <v>851</v>
      </c>
      <c r="H49" s="23" t="s">
        <v>853</v>
      </c>
    </row>
    <row r="50" spans="1:8" x14ac:dyDescent="0.25">
      <c r="A50" s="19" t="s">
        <v>292</v>
      </c>
      <c r="B50" s="19" t="s">
        <v>860</v>
      </c>
      <c r="C50" s="19" t="s">
        <v>861</v>
      </c>
      <c r="D50" s="19">
        <v>1</v>
      </c>
      <c r="E50" s="19">
        <v>1</v>
      </c>
      <c r="F50" s="19">
        <v>2</v>
      </c>
      <c r="G50" s="19" t="s">
        <v>862</v>
      </c>
      <c r="H50" s="23" t="s">
        <v>907</v>
      </c>
    </row>
    <row r="51" spans="1:8" x14ac:dyDescent="0.25">
      <c r="A51" s="19" t="s">
        <v>292</v>
      </c>
      <c r="B51" s="19" t="s">
        <v>860</v>
      </c>
      <c r="C51" s="19" t="s">
        <v>861</v>
      </c>
      <c r="D51" s="19">
        <v>2</v>
      </c>
      <c r="E51" s="19">
        <v>1</v>
      </c>
      <c r="F51" s="19">
        <v>3</v>
      </c>
      <c r="G51" s="19" t="s">
        <v>862</v>
      </c>
      <c r="H51" s="23" t="s">
        <v>907</v>
      </c>
    </row>
    <row r="52" spans="1:8" x14ac:dyDescent="0.25">
      <c r="A52" s="19" t="s">
        <v>292</v>
      </c>
      <c r="B52" s="19" t="s">
        <v>860</v>
      </c>
      <c r="C52" s="19" t="s">
        <v>861</v>
      </c>
      <c r="D52" s="19">
        <v>3</v>
      </c>
      <c r="E52" s="19">
        <v>1</v>
      </c>
      <c r="F52" s="19">
        <v>3</v>
      </c>
      <c r="G52" s="19" t="s">
        <v>862</v>
      </c>
      <c r="H52" s="23" t="s">
        <v>908</v>
      </c>
    </row>
    <row r="53" spans="1:8" x14ac:dyDescent="0.25">
      <c r="A53" s="19" t="s">
        <v>292</v>
      </c>
      <c r="B53" s="19" t="s">
        <v>863</v>
      </c>
      <c r="C53" s="19" t="s">
        <v>864</v>
      </c>
      <c r="D53" s="19">
        <v>1</v>
      </c>
      <c r="E53" s="19">
        <v>1</v>
      </c>
      <c r="F53" s="19">
        <v>2</v>
      </c>
      <c r="G53" s="19" t="s">
        <v>865</v>
      </c>
      <c r="H53" s="23" t="s">
        <v>866</v>
      </c>
    </row>
    <row r="54" spans="1:8" x14ac:dyDescent="0.25">
      <c r="A54" s="19" t="s">
        <v>292</v>
      </c>
      <c r="B54" s="19" t="s">
        <v>863</v>
      </c>
      <c r="C54" s="19" t="s">
        <v>864</v>
      </c>
      <c r="D54" s="19">
        <v>2</v>
      </c>
      <c r="E54" s="19">
        <v>1</v>
      </c>
      <c r="F54" s="19">
        <v>3</v>
      </c>
      <c r="G54" s="19" t="s">
        <v>865</v>
      </c>
      <c r="H54" s="23" t="s">
        <v>866</v>
      </c>
    </row>
    <row r="55" spans="1:8" x14ac:dyDescent="0.25">
      <c r="A55" s="19" t="s">
        <v>292</v>
      </c>
      <c r="B55" s="19" t="s">
        <v>863</v>
      </c>
      <c r="C55" s="19" t="s">
        <v>864</v>
      </c>
      <c r="D55" s="19">
        <v>3</v>
      </c>
      <c r="E55" s="19">
        <v>3</v>
      </c>
      <c r="F55" s="19">
        <v>3</v>
      </c>
      <c r="G55" s="19" t="s">
        <v>865</v>
      </c>
      <c r="H55" s="23" t="s">
        <v>866</v>
      </c>
    </row>
    <row r="56" spans="1:8" x14ac:dyDescent="0.25">
      <c r="A56" s="19" t="s">
        <v>292</v>
      </c>
      <c r="B56" s="19" t="s">
        <v>867</v>
      </c>
      <c r="C56" s="19" t="s">
        <v>868</v>
      </c>
      <c r="D56" s="19">
        <v>1</v>
      </c>
      <c r="E56" s="19">
        <v>1</v>
      </c>
      <c r="F56" s="19">
        <v>2</v>
      </c>
      <c r="G56" s="19" t="s">
        <v>869</v>
      </c>
      <c r="H56" s="23" t="s">
        <v>870</v>
      </c>
    </row>
    <row r="57" spans="1:8" x14ac:dyDescent="0.25">
      <c r="A57" s="19" t="s">
        <v>292</v>
      </c>
      <c r="B57" s="19" t="s">
        <v>867</v>
      </c>
      <c r="C57" s="19" t="s">
        <v>868</v>
      </c>
      <c r="D57" s="19">
        <v>2</v>
      </c>
      <c r="E57" s="19">
        <v>2</v>
      </c>
      <c r="F57" s="19">
        <v>2</v>
      </c>
      <c r="G57" s="19" t="s">
        <v>869</v>
      </c>
      <c r="H57" s="23" t="s">
        <v>870</v>
      </c>
    </row>
    <row r="58" spans="1:8" x14ac:dyDescent="0.25">
      <c r="A58" s="19" t="s">
        <v>292</v>
      </c>
      <c r="B58" s="19" t="s">
        <v>867</v>
      </c>
      <c r="C58" s="19" t="s">
        <v>868</v>
      </c>
      <c r="D58" s="19">
        <v>3</v>
      </c>
      <c r="E58" s="19">
        <v>2</v>
      </c>
      <c r="F58" s="19">
        <v>2</v>
      </c>
      <c r="G58" s="19" t="s">
        <v>869</v>
      </c>
      <c r="H58" s="23" t="s">
        <v>870</v>
      </c>
    </row>
    <row r="59" spans="1:8" x14ac:dyDescent="0.25">
      <c r="A59" s="19" t="s">
        <v>292</v>
      </c>
      <c r="B59" s="19" t="s">
        <v>882</v>
      </c>
      <c r="C59" s="19" t="s">
        <v>883</v>
      </c>
      <c r="D59" s="19">
        <v>1</v>
      </c>
      <c r="E59" s="19">
        <v>1</v>
      </c>
      <c r="F59" s="19">
        <v>2</v>
      </c>
      <c r="G59" s="19" t="s">
        <v>884</v>
      </c>
      <c r="H59" s="23" t="s">
        <v>1716</v>
      </c>
    </row>
    <row r="60" spans="1:8" x14ac:dyDescent="0.25">
      <c r="A60" s="19" t="s">
        <v>292</v>
      </c>
      <c r="B60" s="19" t="s">
        <v>882</v>
      </c>
      <c r="C60" s="19" t="s">
        <v>883</v>
      </c>
      <c r="D60" s="19">
        <v>2</v>
      </c>
      <c r="E60" s="19">
        <v>2</v>
      </c>
      <c r="F60" s="19">
        <v>3</v>
      </c>
      <c r="G60" s="19" t="s">
        <v>884</v>
      </c>
      <c r="H60" s="23" t="s">
        <v>1716</v>
      </c>
    </row>
    <row r="61" spans="1:8" x14ac:dyDescent="0.25">
      <c r="A61" s="19" t="s">
        <v>292</v>
      </c>
      <c r="B61" s="19" t="s">
        <v>882</v>
      </c>
      <c r="C61" s="19" t="s">
        <v>883</v>
      </c>
      <c r="D61" s="19">
        <v>3</v>
      </c>
      <c r="E61" s="19">
        <v>3</v>
      </c>
      <c r="F61" s="19">
        <v>3</v>
      </c>
      <c r="G61" s="19" t="s">
        <v>884</v>
      </c>
      <c r="H61" s="23" t="s">
        <v>1717</v>
      </c>
    </row>
    <row r="62" spans="1:8" x14ac:dyDescent="0.25">
      <c r="A62" s="19" t="s">
        <v>292</v>
      </c>
      <c r="B62" s="19" t="s">
        <v>885</v>
      </c>
      <c r="C62" s="19" t="s">
        <v>886</v>
      </c>
      <c r="D62" s="19">
        <v>1</v>
      </c>
      <c r="E62" s="19">
        <v>1</v>
      </c>
      <c r="F62" s="19">
        <v>1</v>
      </c>
      <c r="G62" s="19" t="s">
        <v>887</v>
      </c>
      <c r="H62" s="23" t="s">
        <v>1718</v>
      </c>
    </row>
    <row r="63" spans="1:8" x14ac:dyDescent="0.25">
      <c r="A63" s="19" t="s">
        <v>292</v>
      </c>
      <c r="B63" s="19" t="s">
        <v>885</v>
      </c>
      <c r="C63" s="19" t="s">
        <v>886</v>
      </c>
      <c r="D63" s="19">
        <v>2</v>
      </c>
      <c r="E63" s="19">
        <v>1</v>
      </c>
      <c r="F63" s="19">
        <v>2</v>
      </c>
      <c r="G63" s="19" t="s">
        <v>887</v>
      </c>
      <c r="H63" s="23" t="s">
        <v>1718</v>
      </c>
    </row>
    <row r="64" spans="1:8" x14ac:dyDescent="0.25">
      <c r="A64" s="19" t="s">
        <v>292</v>
      </c>
      <c r="B64" s="19" t="s">
        <v>885</v>
      </c>
      <c r="C64" s="19" t="s">
        <v>886</v>
      </c>
      <c r="D64" s="19">
        <v>3</v>
      </c>
      <c r="E64" s="19">
        <v>2</v>
      </c>
      <c r="F64" s="19">
        <v>2</v>
      </c>
      <c r="G64" s="19" t="s">
        <v>887</v>
      </c>
      <c r="H64" s="23" t="s">
        <v>1718</v>
      </c>
    </row>
    <row r="65" spans="1:8" x14ac:dyDescent="0.25">
      <c r="A65" s="19" t="s">
        <v>292</v>
      </c>
      <c r="B65" s="19" t="s">
        <v>888</v>
      </c>
      <c r="C65" s="19" t="s">
        <v>889</v>
      </c>
      <c r="D65" s="19">
        <v>1</v>
      </c>
      <c r="E65" s="19">
        <v>1</v>
      </c>
      <c r="F65" s="19">
        <v>2</v>
      </c>
      <c r="G65" s="19" t="s">
        <v>890</v>
      </c>
      <c r="H65" s="23" t="s">
        <v>891</v>
      </c>
    </row>
    <row r="66" spans="1:8" x14ac:dyDescent="0.25">
      <c r="A66" s="19" t="s">
        <v>292</v>
      </c>
      <c r="B66" s="19" t="s">
        <v>888</v>
      </c>
      <c r="C66" s="19" t="s">
        <v>889</v>
      </c>
      <c r="D66" s="19">
        <v>2</v>
      </c>
      <c r="E66" s="19">
        <v>2</v>
      </c>
      <c r="F66" s="19">
        <v>2</v>
      </c>
      <c r="G66" s="19" t="s">
        <v>890</v>
      </c>
      <c r="H66" s="23" t="s">
        <v>892</v>
      </c>
    </row>
    <row r="67" spans="1:8" x14ac:dyDescent="0.25">
      <c r="A67" s="19" t="s">
        <v>292</v>
      </c>
      <c r="B67" s="19" t="s">
        <v>888</v>
      </c>
      <c r="C67" s="19" t="s">
        <v>889</v>
      </c>
      <c r="D67" s="19">
        <v>3</v>
      </c>
      <c r="E67" s="19">
        <v>2</v>
      </c>
      <c r="F67" s="19">
        <v>2</v>
      </c>
      <c r="G67" s="19" t="s">
        <v>890</v>
      </c>
      <c r="H67" s="23" t="s">
        <v>893</v>
      </c>
    </row>
    <row r="68" spans="1:8" x14ac:dyDescent="0.25">
      <c r="A68" s="19" t="s">
        <v>292</v>
      </c>
      <c r="B68" s="19" t="s">
        <v>894</v>
      </c>
      <c r="C68" s="19" t="s">
        <v>895</v>
      </c>
      <c r="D68" s="19">
        <v>1</v>
      </c>
      <c r="E68" s="19">
        <v>1</v>
      </c>
      <c r="F68" s="19">
        <v>2</v>
      </c>
      <c r="G68" s="19" t="s">
        <v>48</v>
      </c>
      <c r="H68" s="23" t="s">
        <v>896</v>
      </c>
    </row>
    <row r="69" spans="1:8" x14ac:dyDescent="0.25">
      <c r="A69" s="19" t="s">
        <v>292</v>
      </c>
      <c r="B69" s="19" t="s">
        <v>894</v>
      </c>
      <c r="C69" s="19" t="s">
        <v>895</v>
      </c>
      <c r="D69" s="19">
        <v>2</v>
      </c>
      <c r="E69" s="19">
        <v>2</v>
      </c>
      <c r="F69" s="19">
        <v>2</v>
      </c>
      <c r="G69" s="19" t="s">
        <v>48</v>
      </c>
      <c r="H69" s="23" t="s">
        <v>897</v>
      </c>
    </row>
    <row r="70" spans="1:8" x14ac:dyDescent="0.25">
      <c r="A70" s="19" t="s">
        <v>292</v>
      </c>
      <c r="B70" s="19" t="s">
        <v>894</v>
      </c>
      <c r="C70" s="19" t="s">
        <v>895</v>
      </c>
      <c r="D70" s="19">
        <v>3</v>
      </c>
      <c r="E70" s="19">
        <v>3</v>
      </c>
      <c r="F70" s="19">
        <v>3</v>
      </c>
      <c r="G70" s="19" t="s">
        <v>48</v>
      </c>
      <c r="H70" s="23" t="s">
        <v>897</v>
      </c>
    </row>
    <row r="71" spans="1:8" x14ac:dyDescent="0.25">
      <c r="A71" s="19" t="s">
        <v>292</v>
      </c>
      <c r="B71" s="19" t="s">
        <v>898</v>
      </c>
      <c r="C71" s="19" t="s">
        <v>899</v>
      </c>
      <c r="D71" s="19">
        <v>1</v>
      </c>
      <c r="E71" s="19">
        <v>1</v>
      </c>
      <c r="F71" s="19">
        <v>2</v>
      </c>
      <c r="G71" s="19" t="s">
        <v>900</v>
      </c>
      <c r="H71" s="23" t="s">
        <v>901</v>
      </c>
    </row>
    <row r="72" spans="1:8" x14ac:dyDescent="0.25">
      <c r="A72" s="19" t="s">
        <v>292</v>
      </c>
      <c r="B72" s="19" t="s">
        <v>898</v>
      </c>
      <c r="C72" s="19" t="s">
        <v>899</v>
      </c>
      <c r="D72" s="19">
        <v>2</v>
      </c>
      <c r="E72" s="19">
        <v>1</v>
      </c>
      <c r="F72" s="19">
        <v>3</v>
      </c>
      <c r="G72" s="19" t="s">
        <v>900</v>
      </c>
      <c r="H72" s="23" t="s">
        <v>901</v>
      </c>
    </row>
    <row r="73" spans="1:8" x14ac:dyDescent="0.25">
      <c r="A73" s="19" t="s">
        <v>292</v>
      </c>
      <c r="B73" s="19" t="s">
        <v>898</v>
      </c>
      <c r="C73" s="19" t="s">
        <v>899</v>
      </c>
      <c r="D73" s="19">
        <v>3</v>
      </c>
      <c r="E73" s="19">
        <v>1</v>
      </c>
      <c r="F73" s="19">
        <v>3</v>
      </c>
      <c r="G73" s="19" t="s">
        <v>900</v>
      </c>
      <c r="H73" s="23" t="s">
        <v>902</v>
      </c>
    </row>
    <row r="74" spans="1:8" x14ac:dyDescent="0.25">
      <c r="A74" s="19" t="s">
        <v>292</v>
      </c>
      <c r="B74" s="19" t="s">
        <v>903</v>
      </c>
      <c r="C74" s="19" t="s">
        <v>904</v>
      </c>
      <c r="D74" s="19">
        <v>1</v>
      </c>
      <c r="E74" s="19">
        <v>1</v>
      </c>
      <c r="F74" s="19">
        <v>2</v>
      </c>
      <c r="G74" s="19" t="s">
        <v>905</v>
      </c>
      <c r="H74" s="23" t="s">
        <v>906</v>
      </c>
    </row>
    <row r="75" spans="1:8" x14ac:dyDescent="0.25">
      <c r="A75" s="19" t="s">
        <v>292</v>
      </c>
      <c r="B75" s="19" t="s">
        <v>903</v>
      </c>
      <c r="C75" s="19" t="s">
        <v>904</v>
      </c>
      <c r="D75" s="19">
        <v>2</v>
      </c>
      <c r="E75" s="19">
        <v>1</v>
      </c>
      <c r="F75" s="19">
        <v>3</v>
      </c>
      <c r="G75" s="19" t="s">
        <v>909</v>
      </c>
      <c r="H75" s="23" t="s">
        <v>910</v>
      </c>
    </row>
    <row r="76" spans="1:8" x14ac:dyDescent="0.25">
      <c r="A76" s="19" t="s">
        <v>292</v>
      </c>
      <c r="B76" s="19" t="s">
        <v>903</v>
      </c>
      <c r="C76" s="19" t="s">
        <v>904</v>
      </c>
      <c r="D76" s="19">
        <v>3</v>
      </c>
      <c r="E76" s="19">
        <v>3</v>
      </c>
      <c r="F76" s="19">
        <v>3</v>
      </c>
      <c r="G76" s="19" t="s">
        <v>909</v>
      </c>
      <c r="H76" s="23" t="s">
        <v>910</v>
      </c>
    </row>
    <row r="77" spans="1:8" x14ac:dyDescent="0.25">
      <c r="A77" s="19" t="s">
        <v>1959</v>
      </c>
      <c r="B77" s="19" t="s">
        <v>854</v>
      </c>
      <c r="C77" s="19" t="s">
        <v>855</v>
      </c>
      <c r="D77" s="19">
        <v>1</v>
      </c>
      <c r="E77" s="19">
        <v>0</v>
      </c>
      <c r="F77" s="19">
        <v>2</v>
      </c>
      <c r="G77" s="19" t="s">
        <v>856</v>
      </c>
      <c r="H77" s="23" t="s">
        <v>1713</v>
      </c>
    </row>
    <row r="78" spans="1:8" x14ac:dyDescent="0.25">
      <c r="A78" s="19" t="s">
        <v>1959</v>
      </c>
      <c r="B78" s="19" t="s">
        <v>854</v>
      </c>
      <c r="C78" s="19" t="s">
        <v>855</v>
      </c>
      <c r="D78" s="19">
        <v>2</v>
      </c>
      <c r="E78" s="19">
        <v>0</v>
      </c>
      <c r="F78" s="19">
        <v>3</v>
      </c>
      <c r="G78" s="19" t="s">
        <v>856</v>
      </c>
      <c r="H78" s="23" t="s">
        <v>1714</v>
      </c>
    </row>
    <row r="79" spans="1:8" x14ac:dyDescent="0.25">
      <c r="A79" s="19" t="s">
        <v>1959</v>
      </c>
      <c r="B79" s="19" t="s">
        <v>854</v>
      </c>
      <c r="C79" s="19" t="s">
        <v>855</v>
      </c>
      <c r="D79" s="19">
        <v>3</v>
      </c>
      <c r="E79" s="19">
        <v>1</v>
      </c>
      <c r="F79" s="19">
        <v>3</v>
      </c>
      <c r="G79" s="19" t="s">
        <v>856</v>
      </c>
      <c r="H79" s="23" t="s">
        <v>1715</v>
      </c>
    </row>
  </sheetData>
  <pageMargins left="0.7" right="0.7" top="0.75" bottom="0.75" header="0.3" footer="0.3"/>
  <pageSetup orientation="portrait" horizontalDpi="4294967293" verticalDpi="4294967293"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E11"/>
  <sheetViews>
    <sheetView workbookViewId="0"/>
  </sheetViews>
  <sheetFormatPr defaultRowHeight="15" x14ac:dyDescent="0.25"/>
  <cols>
    <col min="1" max="1" width="15.140625" bestFit="1" customWidth="1"/>
    <col min="2" max="2" width="11.140625" bestFit="1" customWidth="1"/>
    <col min="4" max="4" width="16.140625" bestFit="1" customWidth="1"/>
    <col min="5" max="5" width="107.42578125" bestFit="1" customWidth="1"/>
  </cols>
  <sheetData>
    <row r="1" spans="1:5" x14ac:dyDescent="0.25">
      <c r="A1" t="s">
        <v>176</v>
      </c>
      <c r="B1" t="s">
        <v>6</v>
      </c>
      <c r="C1" t="s">
        <v>76</v>
      </c>
      <c r="D1" t="s">
        <v>793</v>
      </c>
      <c r="E1" t="s">
        <v>794</v>
      </c>
    </row>
    <row r="2" spans="1:5" x14ac:dyDescent="0.25">
      <c r="A2" t="s">
        <v>702</v>
      </c>
      <c r="B2" t="s">
        <v>799</v>
      </c>
      <c r="C2">
        <v>4</v>
      </c>
      <c r="D2" t="s">
        <v>800</v>
      </c>
      <c r="E2" t="s">
        <v>1983</v>
      </c>
    </row>
    <row r="3" spans="1:5" x14ac:dyDescent="0.25">
      <c r="A3" t="s">
        <v>702</v>
      </c>
      <c r="B3" t="s">
        <v>801</v>
      </c>
      <c r="C3">
        <v>4</v>
      </c>
      <c r="D3" t="s">
        <v>802</v>
      </c>
      <c r="E3" t="s">
        <v>803</v>
      </c>
    </row>
    <row r="4" spans="1:5" x14ac:dyDescent="0.25">
      <c r="A4" t="s">
        <v>702</v>
      </c>
      <c r="B4" t="s">
        <v>804</v>
      </c>
      <c r="C4">
        <v>4</v>
      </c>
      <c r="D4" t="s">
        <v>805</v>
      </c>
      <c r="E4" t="s">
        <v>806</v>
      </c>
    </row>
    <row r="5" spans="1:5" x14ac:dyDescent="0.25">
      <c r="A5" t="s">
        <v>702</v>
      </c>
      <c r="B5" t="s">
        <v>807</v>
      </c>
      <c r="C5">
        <v>3</v>
      </c>
      <c r="D5" t="s">
        <v>808</v>
      </c>
      <c r="E5" t="s">
        <v>809</v>
      </c>
    </row>
    <row r="6" spans="1:5" x14ac:dyDescent="0.25">
      <c r="A6" t="s">
        <v>702</v>
      </c>
      <c r="B6" t="s">
        <v>810</v>
      </c>
      <c r="C6">
        <v>3</v>
      </c>
      <c r="D6" t="s">
        <v>811</v>
      </c>
      <c r="E6" t="s">
        <v>812</v>
      </c>
    </row>
    <row r="7" spans="1:5" x14ac:dyDescent="0.25">
      <c r="A7" t="s">
        <v>702</v>
      </c>
      <c r="B7" t="s">
        <v>813</v>
      </c>
      <c r="C7">
        <v>3</v>
      </c>
      <c r="D7" t="s">
        <v>814</v>
      </c>
      <c r="E7" t="s">
        <v>815</v>
      </c>
    </row>
    <row r="8" spans="1:5" x14ac:dyDescent="0.25">
      <c r="A8" t="s">
        <v>1960</v>
      </c>
      <c r="B8" t="s">
        <v>816</v>
      </c>
      <c r="C8">
        <v>5</v>
      </c>
      <c r="D8" t="s">
        <v>817</v>
      </c>
      <c r="E8" t="s">
        <v>818</v>
      </c>
    </row>
    <row r="9" spans="1:5" x14ac:dyDescent="0.25">
      <c r="A9" t="s">
        <v>1960</v>
      </c>
      <c r="B9" t="s">
        <v>819</v>
      </c>
      <c r="C9">
        <v>4</v>
      </c>
      <c r="D9" t="s">
        <v>820</v>
      </c>
      <c r="E9" t="s">
        <v>821</v>
      </c>
    </row>
    <row r="10" spans="1:5" x14ac:dyDescent="0.25">
      <c r="A10" t="s">
        <v>913</v>
      </c>
      <c r="B10" t="s">
        <v>911</v>
      </c>
      <c r="C10">
        <v>3</v>
      </c>
      <c r="D10" t="s">
        <v>914</v>
      </c>
      <c r="E10" t="s">
        <v>915</v>
      </c>
    </row>
    <row r="11" spans="1:5" x14ac:dyDescent="0.25">
      <c r="A11" t="s">
        <v>913</v>
      </c>
      <c r="B11" t="s">
        <v>912</v>
      </c>
      <c r="C11">
        <v>3</v>
      </c>
      <c r="D11" t="s">
        <v>916</v>
      </c>
      <c r="E11" t="s">
        <v>917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N17"/>
  <sheetViews>
    <sheetView workbookViewId="0">
      <selection activeCell="A5" sqref="A5:A6"/>
    </sheetView>
  </sheetViews>
  <sheetFormatPr defaultRowHeight="15" x14ac:dyDescent="0.25"/>
  <cols>
    <col min="1" max="1" width="13.85546875" bestFit="1" customWidth="1"/>
    <col min="2" max="2" width="9.5703125" bestFit="1" customWidth="1"/>
    <col min="3" max="3" width="13.85546875" bestFit="1" customWidth="1"/>
    <col min="4" max="4" width="13.28515625" bestFit="1" customWidth="1"/>
    <col min="5" max="5" width="6.5703125" bestFit="1" customWidth="1"/>
    <col min="6" max="6" width="10.7109375" bestFit="1" customWidth="1"/>
    <col min="7" max="7" width="8.140625" bestFit="1" customWidth="1"/>
    <col min="8" max="8" width="8.42578125" bestFit="1" customWidth="1"/>
    <col min="9" max="9" width="13.5703125" bestFit="1" customWidth="1"/>
    <col min="10" max="10" width="8.85546875" bestFit="1" customWidth="1"/>
    <col min="11" max="11" width="14.5703125" bestFit="1" customWidth="1"/>
    <col min="12" max="12" width="37.7109375" customWidth="1"/>
    <col min="13" max="13" width="12.85546875" bestFit="1" customWidth="1"/>
    <col min="14" max="14" width="37" customWidth="1"/>
  </cols>
  <sheetData>
    <row r="1" spans="1:14" x14ac:dyDescent="0.25">
      <c r="A1" s="16" t="s">
        <v>176</v>
      </c>
      <c r="B1" s="17" t="s">
        <v>6</v>
      </c>
      <c r="C1" s="17" t="s">
        <v>996</v>
      </c>
      <c r="D1" s="17" t="s">
        <v>10</v>
      </c>
      <c r="E1" s="17" t="s">
        <v>8</v>
      </c>
      <c r="F1" s="17" t="s">
        <v>7</v>
      </c>
      <c r="G1" s="17" t="s">
        <v>12</v>
      </c>
      <c r="H1" s="17" t="s">
        <v>13</v>
      </c>
      <c r="I1" s="17" t="s">
        <v>19</v>
      </c>
      <c r="J1" s="17" t="s">
        <v>14</v>
      </c>
      <c r="K1" s="17" t="s">
        <v>790</v>
      </c>
      <c r="L1" s="18" t="s">
        <v>9</v>
      </c>
      <c r="M1" s="18" t="s">
        <v>1002</v>
      </c>
      <c r="N1" s="18" t="s">
        <v>1000</v>
      </c>
    </row>
    <row r="2" spans="1:14" ht="60" x14ac:dyDescent="0.25">
      <c r="A2" s="19" t="s">
        <v>79</v>
      </c>
      <c r="B2" s="19" t="s">
        <v>997</v>
      </c>
      <c r="C2" s="19" t="s">
        <v>79</v>
      </c>
      <c r="D2" s="19" t="s">
        <v>998</v>
      </c>
      <c r="E2" s="19">
        <v>10</v>
      </c>
      <c r="F2" s="19">
        <v>2</v>
      </c>
      <c r="G2" s="19">
        <v>4</v>
      </c>
      <c r="H2" s="19">
        <v>1</v>
      </c>
      <c r="I2" s="19" t="s">
        <v>17</v>
      </c>
      <c r="J2" s="19">
        <v>10</v>
      </c>
      <c r="K2" s="19" t="s">
        <v>999</v>
      </c>
      <c r="L2" s="23" t="s">
        <v>1012</v>
      </c>
      <c r="M2" s="19" t="s">
        <v>1001</v>
      </c>
      <c r="N2" s="23" t="s">
        <v>1003</v>
      </c>
    </row>
    <row r="3" spans="1:14" ht="60" x14ac:dyDescent="0.25">
      <c r="A3" s="19" t="s">
        <v>79</v>
      </c>
      <c r="B3" s="19" t="s">
        <v>997</v>
      </c>
      <c r="C3" s="19" t="s">
        <v>79</v>
      </c>
      <c r="D3" s="19" t="s">
        <v>1004</v>
      </c>
      <c r="E3" s="19">
        <v>9</v>
      </c>
      <c r="F3" s="19">
        <v>2</v>
      </c>
      <c r="G3" s="19">
        <v>4</v>
      </c>
      <c r="H3" s="19">
        <v>1</v>
      </c>
      <c r="I3" s="19" t="s">
        <v>17</v>
      </c>
      <c r="J3" s="19">
        <v>11</v>
      </c>
      <c r="K3" s="19" t="s">
        <v>999</v>
      </c>
      <c r="L3" s="23" t="s">
        <v>1012</v>
      </c>
      <c r="M3" s="19" t="s">
        <v>1001</v>
      </c>
      <c r="N3" s="23" t="s">
        <v>1003</v>
      </c>
    </row>
    <row r="4" spans="1:14" ht="60" x14ac:dyDescent="0.25">
      <c r="A4" s="19" t="s">
        <v>79</v>
      </c>
      <c r="B4" s="19" t="s">
        <v>997</v>
      </c>
      <c r="C4" s="19" t="s">
        <v>79</v>
      </c>
      <c r="D4" s="19" t="s">
        <v>1005</v>
      </c>
      <c r="E4" s="19">
        <v>12</v>
      </c>
      <c r="F4" s="19">
        <v>2</v>
      </c>
      <c r="G4" s="19">
        <v>4</v>
      </c>
      <c r="H4" s="19">
        <v>1</v>
      </c>
      <c r="I4" s="19" t="s">
        <v>17</v>
      </c>
      <c r="J4" s="19">
        <v>11</v>
      </c>
      <c r="K4" s="19" t="s">
        <v>999</v>
      </c>
      <c r="L4" s="23" t="s">
        <v>1012</v>
      </c>
      <c r="M4" s="19" t="s">
        <v>1001</v>
      </c>
      <c r="N4" s="23" t="s">
        <v>1003</v>
      </c>
    </row>
    <row r="5" spans="1:14" ht="60" x14ac:dyDescent="0.25">
      <c r="A5" s="19" t="s">
        <v>79</v>
      </c>
      <c r="B5" s="19" t="s">
        <v>997</v>
      </c>
      <c r="C5" s="19" t="s">
        <v>79</v>
      </c>
      <c r="D5" s="19" t="s">
        <v>1006</v>
      </c>
      <c r="E5" s="19">
        <v>11</v>
      </c>
      <c r="F5" s="19">
        <v>2</v>
      </c>
      <c r="G5" s="19">
        <v>4</v>
      </c>
      <c r="H5" s="19">
        <v>1</v>
      </c>
      <c r="I5" s="19" t="s">
        <v>17</v>
      </c>
      <c r="J5" s="19">
        <v>12</v>
      </c>
      <c r="K5" s="19" t="s">
        <v>999</v>
      </c>
      <c r="L5" s="23" t="s">
        <v>1012</v>
      </c>
      <c r="M5" s="19" t="s">
        <v>1001</v>
      </c>
      <c r="N5" s="23" t="s">
        <v>1003</v>
      </c>
    </row>
    <row r="6" spans="1:14" ht="75" x14ac:dyDescent="0.25">
      <c r="A6" s="19" t="s">
        <v>96</v>
      </c>
      <c r="B6" s="19" t="s">
        <v>1007</v>
      </c>
      <c r="C6" s="19" t="s">
        <v>96</v>
      </c>
      <c r="D6" s="19" t="s">
        <v>998</v>
      </c>
      <c r="E6" s="19">
        <v>9</v>
      </c>
      <c r="F6" s="19">
        <v>3</v>
      </c>
      <c r="G6" s="19">
        <v>4</v>
      </c>
      <c r="H6" s="19">
        <v>1</v>
      </c>
      <c r="I6" s="19" t="s">
        <v>17</v>
      </c>
      <c r="J6" s="19">
        <v>10</v>
      </c>
      <c r="K6" s="19" t="s">
        <v>1008</v>
      </c>
      <c r="L6" s="23" t="s">
        <v>1011</v>
      </c>
      <c r="M6" s="19" t="s">
        <v>1001</v>
      </c>
      <c r="N6" s="23" t="s">
        <v>1003</v>
      </c>
    </row>
    <row r="7" spans="1:14" ht="75" x14ac:dyDescent="0.25">
      <c r="A7" s="19" t="s">
        <v>96</v>
      </c>
      <c r="B7" s="19" t="s">
        <v>1007</v>
      </c>
      <c r="C7" s="19" t="s">
        <v>96</v>
      </c>
      <c r="D7" s="19" t="s">
        <v>1004</v>
      </c>
      <c r="E7" s="19">
        <v>8</v>
      </c>
      <c r="F7" s="19">
        <v>3</v>
      </c>
      <c r="G7" s="19">
        <v>4</v>
      </c>
      <c r="H7" s="19">
        <v>1</v>
      </c>
      <c r="I7" s="19" t="s">
        <v>17</v>
      </c>
      <c r="J7" s="19">
        <v>11</v>
      </c>
      <c r="K7" s="19" t="s">
        <v>1008</v>
      </c>
      <c r="L7" s="23" t="s">
        <v>1011</v>
      </c>
      <c r="M7" s="19" t="s">
        <v>1001</v>
      </c>
      <c r="N7" s="23" t="s">
        <v>1003</v>
      </c>
    </row>
    <row r="8" spans="1:14" ht="75" x14ac:dyDescent="0.25">
      <c r="A8" s="19" t="s">
        <v>96</v>
      </c>
      <c r="B8" s="19" t="s">
        <v>1007</v>
      </c>
      <c r="C8" s="19" t="s">
        <v>96</v>
      </c>
      <c r="D8" s="19" t="s">
        <v>1005</v>
      </c>
      <c r="E8" s="19">
        <v>11</v>
      </c>
      <c r="F8" s="19">
        <v>3</v>
      </c>
      <c r="G8" s="19">
        <v>4</v>
      </c>
      <c r="H8" s="19">
        <v>1</v>
      </c>
      <c r="I8" s="19" t="s">
        <v>17</v>
      </c>
      <c r="J8" s="19">
        <v>11</v>
      </c>
      <c r="K8" s="19" t="s">
        <v>1008</v>
      </c>
      <c r="L8" s="23" t="s">
        <v>1011</v>
      </c>
      <c r="M8" s="19" t="s">
        <v>1001</v>
      </c>
      <c r="N8" s="23" t="s">
        <v>1003</v>
      </c>
    </row>
    <row r="9" spans="1:14" ht="75" x14ac:dyDescent="0.25">
      <c r="A9" s="19" t="s">
        <v>96</v>
      </c>
      <c r="B9" s="19" t="s">
        <v>1007</v>
      </c>
      <c r="C9" s="19" t="s">
        <v>96</v>
      </c>
      <c r="D9" s="19" t="s">
        <v>1006</v>
      </c>
      <c r="E9" s="19">
        <v>10</v>
      </c>
      <c r="F9" s="19">
        <v>3</v>
      </c>
      <c r="G9" s="19">
        <v>4</v>
      </c>
      <c r="H9" s="19">
        <v>1</v>
      </c>
      <c r="I9" s="19" t="s">
        <v>17</v>
      </c>
      <c r="J9" s="19">
        <v>12</v>
      </c>
      <c r="K9" s="19" t="s">
        <v>1008</v>
      </c>
      <c r="L9" s="23" t="s">
        <v>1011</v>
      </c>
      <c r="M9" s="19" t="s">
        <v>1001</v>
      </c>
      <c r="N9" s="23" t="s">
        <v>1003</v>
      </c>
    </row>
    <row r="10" spans="1:14" ht="60" x14ac:dyDescent="0.25">
      <c r="A10" s="19" t="s">
        <v>110</v>
      </c>
      <c r="B10" s="19" t="s">
        <v>1009</v>
      </c>
      <c r="C10" s="19" t="s">
        <v>110</v>
      </c>
      <c r="D10" s="19" t="s">
        <v>998</v>
      </c>
      <c r="E10" s="19">
        <v>9</v>
      </c>
      <c r="F10" s="19">
        <v>3</v>
      </c>
      <c r="G10" s="19">
        <v>4</v>
      </c>
      <c r="H10" s="19">
        <v>1</v>
      </c>
      <c r="I10" s="19" t="s">
        <v>17</v>
      </c>
      <c r="J10" s="19">
        <v>9</v>
      </c>
      <c r="K10" s="19" t="s">
        <v>1015</v>
      </c>
      <c r="L10" s="23" t="s">
        <v>1010</v>
      </c>
      <c r="M10" s="19" t="s">
        <v>1001</v>
      </c>
      <c r="N10" s="23" t="s">
        <v>1003</v>
      </c>
    </row>
    <row r="11" spans="1:14" ht="60" x14ac:dyDescent="0.25">
      <c r="A11" s="19" t="s">
        <v>110</v>
      </c>
      <c r="B11" s="19" t="s">
        <v>1009</v>
      </c>
      <c r="C11" s="19" t="s">
        <v>110</v>
      </c>
      <c r="D11" s="19" t="s">
        <v>1004</v>
      </c>
      <c r="E11" s="19">
        <v>8</v>
      </c>
      <c r="F11" s="19">
        <v>3</v>
      </c>
      <c r="G11" s="19">
        <v>4</v>
      </c>
      <c r="H11" s="19">
        <v>1</v>
      </c>
      <c r="I11" s="19" t="s">
        <v>17</v>
      </c>
      <c r="J11" s="19">
        <v>10</v>
      </c>
      <c r="K11" s="19" t="s">
        <v>1015</v>
      </c>
      <c r="L11" s="23" t="s">
        <v>1010</v>
      </c>
      <c r="M11" s="19" t="s">
        <v>1001</v>
      </c>
      <c r="N11" s="23" t="s">
        <v>1003</v>
      </c>
    </row>
    <row r="12" spans="1:14" ht="60" x14ac:dyDescent="0.25">
      <c r="A12" s="19" t="s">
        <v>110</v>
      </c>
      <c r="B12" s="19" t="s">
        <v>1009</v>
      </c>
      <c r="C12" s="19" t="s">
        <v>110</v>
      </c>
      <c r="D12" s="19" t="s">
        <v>1005</v>
      </c>
      <c r="E12" s="19">
        <v>11</v>
      </c>
      <c r="F12" s="19">
        <v>3</v>
      </c>
      <c r="G12" s="19">
        <v>4</v>
      </c>
      <c r="H12" s="19">
        <v>1</v>
      </c>
      <c r="I12" s="19" t="s">
        <v>17</v>
      </c>
      <c r="J12" s="19">
        <v>10</v>
      </c>
      <c r="K12" s="19" t="s">
        <v>1015</v>
      </c>
      <c r="L12" s="23" t="s">
        <v>1010</v>
      </c>
      <c r="M12" s="19" t="s">
        <v>1001</v>
      </c>
      <c r="N12" s="23" t="s">
        <v>1003</v>
      </c>
    </row>
    <row r="13" spans="1:14" ht="60" x14ac:dyDescent="0.25">
      <c r="A13" s="19" t="s">
        <v>110</v>
      </c>
      <c r="B13" s="19" t="s">
        <v>1009</v>
      </c>
      <c r="C13" s="19" t="s">
        <v>110</v>
      </c>
      <c r="D13" s="19" t="s">
        <v>1006</v>
      </c>
      <c r="E13" s="19">
        <v>10</v>
      </c>
      <c r="F13" s="19">
        <v>3</v>
      </c>
      <c r="G13" s="19">
        <v>4</v>
      </c>
      <c r="H13" s="19">
        <v>1</v>
      </c>
      <c r="I13" s="19" t="s">
        <v>17</v>
      </c>
      <c r="J13" s="19">
        <v>11</v>
      </c>
      <c r="K13" s="19" t="s">
        <v>1015</v>
      </c>
      <c r="L13" s="23" t="s">
        <v>1010</v>
      </c>
      <c r="M13" s="19" t="s">
        <v>1001</v>
      </c>
      <c r="N13" s="23" t="s">
        <v>1003</v>
      </c>
    </row>
    <row r="14" spans="1:14" ht="60" x14ac:dyDescent="0.25">
      <c r="A14" s="19" t="s">
        <v>121</v>
      </c>
      <c r="B14" s="19" t="s">
        <v>1013</v>
      </c>
      <c r="C14" s="19" t="s">
        <v>121</v>
      </c>
      <c r="D14" s="19" t="s">
        <v>998</v>
      </c>
      <c r="E14" s="19">
        <v>10</v>
      </c>
      <c r="F14" s="19">
        <v>2</v>
      </c>
      <c r="G14" s="19">
        <v>5</v>
      </c>
      <c r="H14" s="19">
        <v>1</v>
      </c>
      <c r="I14" s="19" t="s">
        <v>17</v>
      </c>
      <c r="J14" s="19">
        <v>9</v>
      </c>
      <c r="K14" s="19" t="s">
        <v>887</v>
      </c>
      <c r="L14" s="23" t="s">
        <v>1014</v>
      </c>
      <c r="M14" s="19" t="s">
        <v>1001</v>
      </c>
      <c r="N14" s="23" t="s">
        <v>1003</v>
      </c>
    </row>
    <row r="15" spans="1:14" ht="60" x14ac:dyDescent="0.25">
      <c r="A15" s="19" t="s">
        <v>121</v>
      </c>
      <c r="B15" s="19" t="s">
        <v>1013</v>
      </c>
      <c r="C15" s="19" t="s">
        <v>121</v>
      </c>
      <c r="D15" s="19" t="s">
        <v>1004</v>
      </c>
      <c r="E15" s="19">
        <v>9</v>
      </c>
      <c r="F15" s="19">
        <v>2</v>
      </c>
      <c r="G15" s="19">
        <v>5</v>
      </c>
      <c r="H15" s="19">
        <v>1</v>
      </c>
      <c r="I15" s="19" t="s">
        <v>17</v>
      </c>
      <c r="J15" s="19">
        <v>10</v>
      </c>
      <c r="K15" s="19" t="s">
        <v>887</v>
      </c>
      <c r="L15" s="23" t="s">
        <v>1014</v>
      </c>
      <c r="M15" s="19" t="s">
        <v>1001</v>
      </c>
      <c r="N15" s="23" t="s">
        <v>1003</v>
      </c>
    </row>
    <row r="16" spans="1:14" ht="60" x14ac:dyDescent="0.25">
      <c r="A16" s="19" t="s">
        <v>121</v>
      </c>
      <c r="B16" s="19" t="s">
        <v>1013</v>
      </c>
      <c r="C16" s="19" t="s">
        <v>121</v>
      </c>
      <c r="D16" s="19" t="s">
        <v>1005</v>
      </c>
      <c r="E16" s="19">
        <v>11</v>
      </c>
      <c r="F16" s="19">
        <v>2</v>
      </c>
      <c r="G16" s="19">
        <v>5</v>
      </c>
      <c r="H16" s="19">
        <v>1</v>
      </c>
      <c r="I16" s="19" t="s">
        <v>17</v>
      </c>
      <c r="J16" s="19">
        <v>11</v>
      </c>
      <c r="K16" s="19" t="s">
        <v>887</v>
      </c>
      <c r="L16" s="23" t="s">
        <v>1014</v>
      </c>
      <c r="M16" s="19" t="s">
        <v>1001</v>
      </c>
      <c r="N16" s="23" t="s">
        <v>1003</v>
      </c>
    </row>
    <row r="17" spans="1:14" ht="60" x14ac:dyDescent="0.25">
      <c r="A17" s="19" t="s">
        <v>121</v>
      </c>
      <c r="B17" s="19" t="s">
        <v>1013</v>
      </c>
      <c r="C17" s="19" t="s">
        <v>121</v>
      </c>
      <c r="D17" s="19" t="s">
        <v>1006</v>
      </c>
      <c r="E17" s="19">
        <v>12</v>
      </c>
      <c r="F17" s="19">
        <v>2</v>
      </c>
      <c r="G17" s="19">
        <v>5</v>
      </c>
      <c r="H17" s="19">
        <v>1</v>
      </c>
      <c r="I17" s="19" t="s">
        <v>17</v>
      </c>
      <c r="J17" s="19">
        <v>10</v>
      </c>
      <c r="K17" s="19" t="s">
        <v>887</v>
      </c>
      <c r="L17" s="23" t="s">
        <v>1014</v>
      </c>
      <c r="M17" s="19" t="s">
        <v>1001</v>
      </c>
      <c r="N17" s="23" t="s">
        <v>1003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E47"/>
  <sheetViews>
    <sheetView topLeftCell="A21" workbookViewId="0">
      <selection activeCell="A35" sqref="A35:A36"/>
    </sheetView>
  </sheetViews>
  <sheetFormatPr defaultRowHeight="15" x14ac:dyDescent="0.25"/>
  <cols>
    <col min="1" max="1" width="13.85546875" bestFit="1" customWidth="1"/>
    <col min="2" max="2" width="24.42578125" bestFit="1" customWidth="1"/>
    <col min="3" max="3" width="6.42578125" bestFit="1" customWidth="1"/>
    <col min="4" max="4" width="19.7109375" bestFit="1" customWidth="1"/>
    <col min="5" max="5" width="122" bestFit="1" customWidth="1"/>
  </cols>
  <sheetData>
    <row r="1" spans="1:5" x14ac:dyDescent="0.25">
      <c r="A1" t="s">
        <v>176</v>
      </c>
      <c r="B1" t="s">
        <v>6</v>
      </c>
      <c r="C1" t="s">
        <v>1104</v>
      </c>
      <c r="D1" t="s">
        <v>996</v>
      </c>
      <c r="E1" t="s">
        <v>141</v>
      </c>
    </row>
    <row r="2" spans="1:5" x14ac:dyDescent="0.25">
      <c r="A2" s="19" t="s">
        <v>121</v>
      </c>
      <c r="B2" s="19" t="s">
        <v>1111</v>
      </c>
      <c r="C2" s="19">
        <v>2</v>
      </c>
      <c r="D2" s="19" t="s">
        <v>1112</v>
      </c>
      <c r="E2" s="23" t="s">
        <v>1113</v>
      </c>
    </row>
    <row r="3" spans="1:5" x14ac:dyDescent="0.25">
      <c r="A3" s="19" t="s">
        <v>121</v>
      </c>
      <c r="B3" s="19" t="s">
        <v>1114</v>
      </c>
      <c r="C3" s="19">
        <v>2</v>
      </c>
      <c r="D3" s="19" t="s">
        <v>1115</v>
      </c>
      <c r="E3" s="23" t="s">
        <v>1116</v>
      </c>
    </row>
    <row r="4" spans="1:5" x14ac:dyDescent="0.25">
      <c r="A4" s="19" t="s">
        <v>121</v>
      </c>
      <c r="B4" s="19" t="s">
        <v>1154</v>
      </c>
      <c r="C4" s="19">
        <v>4</v>
      </c>
      <c r="D4" s="19" t="s">
        <v>1118</v>
      </c>
      <c r="E4" s="23" t="s">
        <v>1119</v>
      </c>
    </row>
    <row r="5" spans="1:5" ht="30" x14ac:dyDescent="0.25">
      <c r="A5" s="19" t="s">
        <v>121</v>
      </c>
      <c r="B5" s="19" t="s">
        <v>1155</v>
      </c>
      <c r="C5" s="19">
        <v>6</v>
      </c>
      <c r="D5" s="19" t="s">
        <v>1156</v>
      </c>
      <c r="E5" s="23" t="s">
        <v>1984</v>
      </c>
    </row>
    <row r="6" spans="1:5" ht="30" x14ac:dyDescent="0.25">
      <c r="A6" s="19" t="s">
        <v>121</v>
      </c>
      <c r="B6" s="19" t="s">
        <v>1123</v>
      </c>
      <c r="C6" s="19">
        <v>1</v>
      </c>
      <c r="D6" s="19" t="s">
        <v>1124</v>
      </c>
      <c r="E6" s="23" t="s">
        <v>1125</v>
      </c>
    </row>
    <row r="7" spans="1:5" ht="30" x14ac:dyDescent="0.25">
      <c r="A7" s="19" t="s">
        <v>121</v>
      </c>
      <c r="B7" s="19" t="s">
        <v>1123</v>
      </c>
      <c r="C7" s="19">
        <v>1</v>
      </c>
      <c r="D7" s="19" t="s">
        <v>1124</v>
      </c>
      <c r="E7" s="23" t="s">
        <v>1126</v>
      </c>
    </row>
    <row r="8" spans="1:5" x14ac:dyDescent="0.25">
      <c r="A8" s="19" t="s">
        <v>121</v>
      </c>
      <c r="B8" s="19" t="s">
        <v>1127</v>
      </c>
      <c r="C8" s="19">
        <v>1</v>
      </c>
      <c r="D8" s="19" t="s">
        <v>1124</v>
      </c>
      <c r="E8" s="23" t="s">
        <v>1129</v>
      </c>
    </row>
    <row r="9" spans="1:5" x14ac:dyDescent="0.25">
      <c r="A9" s="19" t="s">
        <v>121</v>
      </c>
      <c r="B9" s="19" t="s">
        <v>1127</v>
      </c>
      <c r="C9" s="19">
        <v>1</v>
      </c>
      <c r="D9" s="19" t="s">
        <v>1124</v>
      </c>
      <c r="E9" s="23" t="s">
        <v>1128</v>
      </c>
    </row>
    <row r="10" spans="1:5" x14ac:dyDescent="0.25">
      <c r="A10" s="19" t="s">
        <v>121</v>
      </c>
      <c r="B10" s="19" t="s">
        <v>1157</v>
      </c>
      <c r="C10" s="19">
        <v>3</v>
      </c>
      <c r="D10" s="19" t="s">
        <v>1158</v>
      </c>
      <c r="E10" s="23" t="s">
        <v>1159</v>
      </c>
    </row>
    <row r="11" spans="1:5" x14ac:dyDescent="0.25">
      <c r="A11" s="19" t="s">
        <v>121</v>
      </c>
      <c r="B11" s="19" t="s">
        <v>1160</v>
      </c>
      <c r="C11" s="19">
        <v>2</v>
      </c>
      <c r="D11" s="19" t="s">
        <v>1161</v>
      </c>
      <c r="E11" s="23" t="s">
        <v>1162</v>
      </c>
    </row>
    <row r="12" spans="1:5" x14ac:dyDescent="0.25">
      <c r="A12" s="19" t="s">
        <v>121</v>
      </c>
      <c r="B12" s="19" t="s">
        <v>1130</v>
      </c>
      <c r="C12" s="19">
        <v>1</v>
      </c>
      <c r="D12" s="19" t="s">
        <v>1131</v>
      </c>
      <c r="E12" s="23" t="s">
        <v>1132</v>
      </c>
    </row>
    <row r="13" spans="1:5" x14ac:dyDescent="0.25">
      <c r="A13" s="19" t="s">
        <v>96</v>
      </c>
      <c r="B13" s="19" t="s">
        <v>1105</v>
      </c>
      <c r="C13" s="19">
        <v>2</v>
      </c>
      <c r="D13" s="19" t="s">
        <v>1106</v>
      </c>
      <c r="E13" s="23" t="s">
        <v>1107</v>
      </c>
    </row>
    <row r="14" spans="1:5" x14ac:dyDescent="0.25">
      <c r="A14" s="19" t="s">
        <v>96</v>
      </c>
      <c r="B14" s="19" t="s">
        <v>1108</v>
      </c>
      <c r="C14" s="19">
        <v>1</v>
      </c>
      <c r="D14" s="19" t="s">
        <v>1109</v>
      </c>
      <c r="E14" s="23" t="s">
        <v>1110</v>
      </c>
    </row>
    <row r="15" spans="1:5" x14ac:dyDescent="0.25">
      <c r="A15" s="19" t="s">
        <v>96</v>
      </c>
      <c r="B15" s="19" t="s">
        <v>1111</v>
      </c>
      <c r="C15" s="19">
        <v>2</v>
      </c>
      <c r="D15" s="19" t="s">
        <v>1112</v>
      </c>
      <c r="E15" s="23" t="s">
        <v>1113</v>
      </c>
    </row>
    <row r="16" spans="1:5" x14ac:dyDescent="0.25">
      <c r="A16" s="19" t="s">
        <v>96</v>
      </c>
      <c r="B16" s="19" t="s">
        <v>1114</v>
      </c>
      <c r="C16" s="19">
        <v>2</v>
      </c>
      <c r="D16" s="19" t="s">
        <v>1115</v>
      </c>
      <c r="E16" s="23" t="s">
        <v>1116</v>
      </c>
    </row>
    <row r="17" spans="1:5" x14ac:dyDescent="0.25">
      <c r="A17" s="19" t="s">
        <v>96</v>
      </c>
      <c r="B17" s="19" t="s">
        <v>1117</v>
      </c>
      <c r="C17" s="19">
        <v>4</v>
      </c>
      <c r="D17" s="19" t="s">
        <v>1118</v>
      </c>
      <c r="E17" s="23" t="s">
        <v>1119</v>
      </c>
    </row>
    <row r="18" spans="1:5" ht="30" x14ac:dyDescent="0.25">
      <c r="A18" s="19" t="s">
        <v>96</v>
      </c>
      <c r="B18" s="19" t="s">
        <v>1120</v>
      </c>
      <c r="C18" s="19">
        <v>8</v>
      </c>
      <c r="D18" s="19" t="s">
        <v>1121</v>
      </c>
      <c r="E18" s="23" t="s">
        <v>1122</v>
      </c>
    </row>
    <row r="19" spans="1:5" ht="30" x14ac:dyDescent="0.25">
      <c r="A19" s="19" t="s">
        <v>96</v>
      </c>
      <c r="B19" s="19" t="s">
        <v>1123</v>
      </c>
      <c r="C19" s="19">
        <v>1</v>
      </c>
      <c r="D19" s="19" t="s">
        <v>1124</v>
      </c>
      <c r="E19" s="23" t="s">
        <v>1125</v>
      </c>
    </row>
    <row r="20" spans="1:5" ht="30" x14ac:dyDescent="0.25">
      <c r="A20" s="19" t="s">
        <v>96</v>
      </c>
      <c r="B20" s="19" t="s">
        <v>1123</v>
      </c>
      <c r="C20" s="19">
        <v>1</v>
      </c>
      <c r="D20" s="19" t="s">
        <v>1124</v>
      </c>
      <c r="E20" s="23" t="s">
        <v>1126</v>
      </c>
    </row>
    <row r="21" spans="1:5" x14ac:dyDescent="0.25">
      <c r="A21" s="19" t="s">
        <v>96</v>
      </c>
      <c r="B21" s="19" t="s">
        <v>1127</v>
      </c>
      <c r="C21" s="19">
        <v>1</v>
      </c>
      <c r="D21" s="19" t="s">
        <v>1124</v>
      </c>
      <c r="E21" s="23" t="s">
        <v>1129</v>
      </c>
    </row>
    <row r="22" spans="1:5" x14ac:dyDescent="0.25">
      <c r="A22" s="19" t="s">
        <v>96</v>
      </c>
      <c r="B22" s="19" t="s">
        <v>1127</v>
      </c>
      <c r="C22" s="19">
        <v>1</v>
      </c>
      <c r="D22" s="19" t="s">
        <v>1124</v>
      </c>
      <c r="E22" s="23" t="s">
        <v>1128</v>
      </c>
    </row>
    <row r="23" spans="1:5" x14ac:dyDescent="0.25">
      <c r="A23" s="19" t="s">
        <v>96</v>
      </c>
      <c r="B23" s="19" t="s">
        <v>1130</v>
      </c>
      <c r="C23" s="19">
        <v>1</v>
      </c>
      <c r="D23" s="19" t="s">
        <v>1131</v>
      </c>
      <c r="E23" s="23" t="s">
        <v>1132</v>
      </c>
    </row>
    <row r="24" spans="1:5" x14ac:dyDescent="0.25">
      <c r="A24" s="19" t="s">
        <v>110</v>
      </c>
      <c r="B24" s="19" t="s">
        <v>1111</v>
      </c>
      <c r="C24" s="19">
        <v>2</v>
      </c>
      <c r="D24" s="19" t="s">
        <v>1112</v>
      </c>
      <c r="E24" s="23" t="s">
        <v>1113</v>
      </c>
    </row>
    <row r="25" spans="1:5" x14ac:dyDescent="0.25">
      <c r="A25" s="19" t="s">
        <v>110</v>
      </c>
      <c r="B25" s="19" t="s">
        <v>1114</v>
      </c>
      <c r="C25" s="19">
        <v>2</v>
      </c>
      <c r="D25" s="19" t="s">
        <v>1115</v>
      </c>
      <c r="E25" s="23" t="s">
        <v>1116</v>
      </c>
    </row>
    <row r="26" spans="1:5" ht="30" x14ac:dyDescent="0.25">
      <c r="A26" s="19" t="s">
        <v>110</v>
      </c>
      <c r="B26" s="19" t="s">
        <v>1123</v>
      </c>
      <c r="C26" s="19">
        <v>1</v>
      </c>
      <c r="D26" s="19" t="s">
        <v>1124</v>
      </c>
      <c r="E26" s="23" t="s">
        <v>1125</v>
      </c>
    </row>
    <row r="27" spans="1:5" ht="30" x14ac:dyDescent="0.25">
      <c r="A27" s="19" t="s">
        <v>110</v>
      </c>
      <c r="B27" s="19" t="s">
        <v>1123</v>
      </c>
      <c r="C27" s="19">
        <v>1</v>
      </c>
      <c r="D27" s="19" t="s">
        <v>1124</v>
      </c>
      <c r="E27" s="23" t="s">
        <v>1126</v>
      </c>
    </row>
    <row r="28" spans="1:5" x14ac:dyDescent="0.25">
      <c r="A28" s="19" t="s">
        <v>110</v>
      </c>
      <c r="B28" s="19" t="s">
        <v>1127</v>
      </c>
      <c r="C28" s="19">
        <v>1</v>
      </c>
      <c r="D28" s="19" t="s">
        <v>1124</v>
      </c>
      <c r="E28" s="23" t="s">
        <v>1129</v>
      </c>
    </row>
    <row r="29" spans="1:5" x14ac:dyDescent="0.25">
      <c r="A29" s="19" t="s">
        <v>110</v>
      </c>
      <c r="B29" s="19" t="s">
        <v>1127</v>
      </c>
      <c r="C29" s="19">
        <v>1</v>
      </c>
      <c r="D29" s="19" t="s">
        <v>1124</v>
      </c>
      <c r="E29" s="23" t="s">
        <v>1128</v>
      </c>
    </row>
    <row r="30" spans="1:5" x14ac:dyDescent="0.25">
      <c r="A30" s="19" t="s">
        <v>110</v>
      </c>
      <c r="B30" s="19" t="s">
        <v>1133</v>
      </c>
      <c r="C30" s="19">
        <v>4</v>
      </c>
      <c r="D30" s="19" t="s">
        <v>1118</v>
      </c>
      <c r="E30" s="23" t="s">
        <v>1119</v>
      </c>
    </row>
    <row r="31" spans="1:5" x14ac:dyDescent="0.25">
      <c r="A31" s="19" t="s">
        <v>110</v>
      </c>
      <c r="B31" s="19" t="s">
        <v>1134</v>
      </c>
      <c r="C31" s="19">
        <v>3</v>
      </c>
      <c r="D31" s="19" t="s">
        <v>1135</v>
      </c>
      <c r="E31" s="23" t="s">
        <v>1136</v>
      </c>
    </row>
    <row r="32" spans="1:5" x14ac:dyDescent="0.25">
      <c r="A32" s="19" t="s">
        <v>110</v>
      </c>
      <c r="B32" s="19" t="s">
        <v>1137</v>
      </c>
      <c r="C32" s="19">
        <v>3</v>
      </c>
      <c r="D32" s="19" t="s">
        <v>1138</v>
      </c>
      <c r="E32" s="23" t="s">
        <v>1139</v>
      </c>
    </row>
    <row r="33" spans="1:5" x14ac:dyDescent="0.25">
      <c r="A33" s="19" t="s">
        <v>110</v>
      </c>
      <c r="B33" s="19" t="s">
        <v>1140</v>
      </c>
      <c r="C33" s="19">
        <v>3</v>
      </c>
      <c r="D33" s="19" t="s">
        <v>1138</v>
      </c>
      <c r="E33" s="23" t="s">
        <v>1141</v>
      </c>
    </row>
    <row r="34" spans="1:5" x14ac:dyDescent="0.25">
      <c r="A34" s="19" t="s">
        <v>110</v>
      </c>
      <c r="B34" s="19" t="s">
        <v>1142</v>
      </c>
      <c r="C34" s="19">
        <v>2</v>
      </c>
      <c r="D34" s="19" t="s">
        <v>1138</v>
      </c>
      <c r="E34" s="23" t="s">
        <v>1143</v>
      </c>
    </row>
    <row r="35" spans="1:5" x14ac:dyDescent="0.25">
      <c r="A35" s="19" t="s">
        <v>110</v>
      </c>
      <c r="B35" s="19" t="s">
        <v>1130</v>
      </c>
      <c r="C35" s="19">
        <v>1</v>
      </c>
      <c r="D35" s="19" t="s">
        <v>1131</v>
      </c>
      <c r="E35" s="23" t="s">
        <v>1132</v>
      </c>
    </row>
    <row r="36" spans="1:5" x14ac:dyDescent="0.25">
      <c r="A36" s="19" t="s">
        <v>79</v>
      </c>
      <c r="B36" s="19" t="s">
        <v>1144</v>
      </c>
      <c r="C36" s="19">
        <v>4</v>
      </c>
      <c r="D36" s="19" t="s">
        <v>1118</v>
      </c>
      <c r="E36" s="23" t="s">
        <v>1119</v>
      </c>
    </row>
    <row r="37" spans="1:5" x14ac:dyDescent="0.25">
      <c r="A37" s="19" t="s">
        <v>79</v>
      </c>
      <c r="B37" s="19" t="s">
        <v>1145</v>
      </c>
      <c r="C37" s="19">
        <v>2</v>
      </c>
      <c r="D37" s="19" t="s">
        <v>1146</v>
      </c>
      <c r="E37" s="23" t="s">
        <v>1147</v>
      </c>
    </row>
    <row r="38" spans="1:5" x14ac:dyDescent="0.25">
      <c r="A38" s="19" t="s">
        <v>79</v>
      </c>
      <c r="B38" s="19" t="s">
        <v>1148</v>
      </c>
      <c r="C38" s="19">
        <v>2</v>
      </c>
      <c r="D38" s="19" t="s">
        <v>1135</v>
      </c>
      <c r="E38" s="23" t="s">
        <v>1149</v>
      </c>
    </row>
    <row r="39" spans="1:5" x14ac:dyDescent="0.25">
      <c r="A39" s="19" t="s">
        <v>79</v>
      </c>
      <c r="B39" s="19" t="s">
        <v>1114</v>
      </c>
      <c r="C39" s="19">
        <v>1</v>
      </c>
      <c r="D39" s="19" t="s">
        <v>1115</v>
      </c>
      <c r="E39" s="23" t="s">
        <v>1116</v>
      </c>
    </row>
    <row r="40" spans="1:5" x14ac:dyDescent="0.25">
      <c r="A40" s="19" t="s">
        <v>79</v>
      </c>
      <c r="B40" s="19" t="s">
        <v>1111</v>
      </c>
      <c r="C40" s="19">
        <v>2</v>
      </c>
      <c r="D40" s="19" t="s">
        <v>1112</v>
      </c>
      <c r="E40" s="23" t="s">
        <v>1113</v>
      </c>
    </row>
    <row r="41" spans="1:5" ht="30" x14ac:dyDescent="0.25">
      <c r="A41" s="19" t="s">
        <v>79</v>
      </c>
      <c r="B41" s="19" t="s">
        <v>1123</v>
      </c>
      <c r="C41" s="19">
        <v>1</v>
      </c>
      <c r="D41" s="19" t="s">
        <v>1124</v>
      </c>
      <c r="E41" s="23" t="s">
        <v>1125</v>
      </c>
    </row>
    <row r="42" spans="1:5" ht="30" x14ac:dyDescent="0.25">
      <c r="A42" s="19" t="s">
        <v>79</v>
      </c>
      <c r="B42" s="19" t="s">
        <v>1123</v>
      </c>
      <c r="C42" s="19">
        <v>1</v>
      </c>
      <c r="D42" s="19" t="s">
        <v>1124</v>
      </c>
      <c r="E42" s="23" t="s">
        <v>1126</v>
      </c>
    </row>
    <row r="43" spans="1:5" x14ac:dyDescent="0.25">
      <c r="A43" s="19" t="s">
        <v>79</v>
      </c>
      <c r="B43" s="19" t="s">
        <v>1127</v>
      </c>
      <c r="C43" s="19">
        <v>1</v>
      </c>
      <c r="D43" s="19" t="s">
        <v>1124</v>
      </c>
      <c r="E43" s="23" t="s">
        <v>1129</v>
      </c>
    </row>
    <row r="44" spans="1:5" x14ac:dyDescent="0.25">
      <c r="A44" s="19" t="s">
        <v>79</v>
      </c>
      <c r="B44" s="19" t="s">
        <v>1127</v>
      </c>
      <c r="C44" s="19">
        <v>1</v>
      </c>
      <c r="D44" s="19" t="s">
        <v>1124</v>
      </c>
      <c r="E44" s="23" t="s">
        <v>1128</v>
      </c>
    </row>
    <row r="45" spans="1:5" ht="30" x14ac:dyDescent="0.25">
      <c r="A45" s="19" t="s">
        <v>79</v>
      </c>
      <c r="B45" s="19" t="s">
        <v>1150</v>
      </c>
      <c r="C45" s="19">
        <v>4</v>
      </c>
      <c r="D45" s="19" t="s">
        <v>1151</v>
      </c>
      <c r="E45" s="23" t="s">
        <v>1152</v>
      </c>
    </row>
    <row r="46" spans="1:5" ht="30" x14ac:dyDescent="0.25">
      <c r="A46" s="19" t="s">
        <v>79</v>
      </c>
      <c r="B46" s="19" t="s">
        <v>1150</v>
      </c>
      <c r="C46" s="19">
        <v>4</v>
      </c>
      <c r="D46" s="19" t="s">
        <v>1151</v>
      </c>
      <c r="E46" s="23" t="s">
        <v>1153</v>
      </c>
    </row>
    <row r="47" spans="1:5" x14ac:dyDescent="0.25">
      <c r="A47" s="19" t="s">
        <v>79</v>
      </c>
      <c r="B47" s="19" t="s">
        <v>1130</v>
      </c>
      <c r="C47" s="19">
        <v>1</v>
      </c>
      <c r="D47" s="19" t="s">
        <v>1131</v>
      </c>
      <c r="E47" s="23" t="s">
        <v>1132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Set Counts</vt:lpstr>
      <vt:lpstr>Item Type by Set</vt:lpstr>
      <vt:lpstr>Upgrades</vt:lpstr>
      <vt:lpstr>Quests</vt:lpstr>
      <vt:lpstr>Death Curses</vt:lpstr>
      <vt:lpstr>Stone Cards</vt:lpstr>
      <vt:lpstr>Heroes</vt:lpstr>
      <vt:lpstr>Monsters</vt:lpstr>
      <vt:lpstr>Pets</vt:lpstr>
      <vt:lpstr>Mounts</vt:lpstr>
      <vt:lpstr>Dragons</vt:lpstr>
      <vt:lpstr>Dragon 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Penrose</dc:creator>
  <cp:lastModifiedBy>Bryan Penrose</cp:lastModifiedBy>
  <cp:lastPrinted>2024-02-06T15:45:21Z</cp:lastPrinted>
  <dcterms:created xsi:type="dcterms:W3CDTF">2014-09-02T16:32:43Z</dcterms:created>
  <dcterms:modified xsi:type="dcterms:W3CDTF">2024-07-17T14:15:34Z</dcterms:modified>
</cp:coreProperties>
</file>